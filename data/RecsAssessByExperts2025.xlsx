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s" sheetId="1" r:id="rId4"/>
    <sheet state="visible" name="Analysis" sheetId="2" r:id="rId5"/>
    <sheet state="visible" name="TextualValueOfTests" sheetId="3" r:id="rId6"/>
  </sheets>
  <definedNames/>
  <calcPr/>
</workbook>
</file>

<file path=xl/sharedStrings.xml><?xml version="1.0" encoding="utf-8"?>
<sst xmlns="http://schemas.openxmlformats.org/spreadsheetml/2006/main" count="893" uniqueCount="56">
  <si>
    <t>Отметка времени</t>
  </si>
  <si>
    <t>Recommendation ID:</t>
  </si>
  <si>
    <t>Source</t>
  </si>
  <si>
    <t>AI model</t>
  </si>
  <si>
    <t>Effectiveness: Considering the participant's health history and wearable device data, how effective is the recommended supplement recipe for addressing the participant's anti-aging goals?</t>
  </si>
  <si>
    <t>Safety: Based on the participant's health profile, does the recommendation consider and evidences possible risks,  potential contraindications, interactions, or other adverse effects?</t>
  </si>
  <si>
    <t>Personalization: How effectively does the recommendation reflect the individual participant's specific health characteristics, lifestyle, and wearable device metrics?</t>
  </si>
  <si>
    <t>Overall Suitability: Considering all the above criteria collectively, how suitable is this recommendation overall for the participant?</t>
  </si>
  <si>
    <t>Authorship: Do you think that this recommendation was done by an AI tool or by a person?</t>
  </si>
  <si>
    <t>Your full name</t>
  </si>
  <si>
    <t>Assessor</t>
  </si>
  <si>
    <t>AI</t>
  </si>
  <si>
    <t>Gemini 2.0 Flash</t>
  </si>
  <si>
    <t>Hibbing Civics</t>
  </si>
  <si>
    <t>Assessor1</t>
  </si>
  <si>
    <t>GPT 4o</t>
  </si>
  <si>
    <t xml:space="preserve">Maureen trump </t>
  </si>
  <si>
    <t>Assessor9</t>
  </si>
  <si>
    <t>Human</t>
  </si>
  <si>
    <t xml:space="preserve">James Allen </t>
  </si>
  <si>
    <t>Claude Opus 4</t>
  </si>
  <si>
    <t xml:space="preserve">Florence Davies </t>
  </si>
  <si>
    <t>Assessor4</t>
  </si>
  <si>
    <t>Jamie Vaughn</t>
  </si>
  <si>
    <t>Assessor12</t>
  </si>
  <si>
    <t>Billie Thomas</t>
  </si>
  <si>
    <t>Assessor11</t>
  </si>
  <si>
    <t xml:space="preserve">John Francis </t>
  </si>
  <si>
    <t>Assessor2</t>
  </si>
  <si>
    <t>eunicejohn1269@gmail.com</t>
  </si>
  <si>
    <t xml:space="preserve">Phillip joe </t>
  </si>
  <si>
    <t>Assessor10</t>
  </si>
  <si>
    <t xml:space="preserve">Hibbing Civics </t>
  </si>
  <si>
    <t xml:space="preserve">Maureen Trump </t>
  </si>
  <si>
    <t xml:space="preserve">Billie Thomas </t>
  </si>
  <si>
    <t>Maureen trump</t>
  </si>
  <si>
    <t xml:space="preserve">Phillip Joe </t>
  </si>
  <si>
    <t>Brazy Farence</t>
  </si>
  <si>
    <t>Assessor13</t>
  </si>
  <si>
    <t>Brazy farence</t>
  </si>
  <si>
    <t xml:space="preserve">Leny Odoi </t>
  </si>
  <si>
    <t>Assessor8</t>
  </si>
  <si>
    <t>All</t>
  </si>
  <si>
    <t>LLMs</t>
  </si>
  <si>
    <t>Don't know</t>
  </si>
  <si>
    <t>Do know</t>
  </si>
  <si>
    <t>p values of Mann Witney U test</t>
  </si>
  <si>
    <t>Effectiveness</t>
  </si>
  <si>
    <t>Safety</t>
  </si>
  <si>
    <t>Personalization</t>
  </si>
  <si>
    <t>Overall Suitability</t>
  </si>
  <si>
    <t>Human vs. AI</t>
  </si>
  <si>
    <t>Human vs. Gemini 2.0 Flash</t>
  </si>
  <si>
    <t>Human vs. GPT 4o</t>
  </si>
  <si>
    <t>Human vs. Claude Opus 4</t>
  </si>
  <si>
    <t>Cross p values of Mann Witney U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</si>
</sst>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Times New Roman"/>
    </font>
    <font>
      <sz val="10.0"/>
      <color rgb="FF000000"/>
      <name val="Times New Roman"/>
    </font>
    <font>
      <b/>
      <color rgb="FFFF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9FBFD"/>
        <bgColor rgb="FFF9FBF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9FBFD"/>
      </left>
      <right style="thin">
        <color rgb="FF442F65"/>
      </right>
      <top style="thin">
        <color rgb="FFF9FBFD"/>
      </top>
      <bottom style="thin">
        <color rgb="FFF9FBFD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9FBFD"/>
      </left>
      <right style="thin">
        <color rgb="FF442F65"/>
      </right>
      <top style="thin">
        <color rgb="FFF9FBFD"/>
      </top>
      <bottom style="thin">
        <color rgb="FF442F65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2" fontId="3" numFmtId="0" xfId="0" applyAlignment="1" applyBorder="1" applyFill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11" fillId="3" fontId="1" numFmtId="0" xfId="0" applyAlignment="1" applyBorder="1" applyFill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2" fontId="3" numFmtId="0" xfId="0" applyAlignment="1" applyBorder="1" applyFont="1">
      <alignment readingOrder="0" shrinkToFit="0" vertical="center" wrapText="0"/>
    </xf>
    <xf borderId="14" fillId="2" fontId="3" numFmtId="0" xfId="0" applyAlignment="1" applyBorder="1" applyFont="1">
      <alignment readingOrder="0" shrinkToFit="0" vertical="center" wrapText="0"/>
    </xf>
    <xf borderId="0" fillId="0" fontId="2" numFmtId="0" xfId="0" applyFont="1"/>
    <xf borderId="0" fillId="4" fontId="4" numFmtId="0" xfId="0" applyAlignment="1" applyFill="1" applyFont="1">
      <alignment horizontal="center" readingOrder="0"/>
    </xf>
    <xf borderId="0" fillId="4" fontId="1" numFmtId="0" xfId="0" applyFont="1"/>
    <xf borderId="0" fillId="5" fontId="4" numFmtId="0" xfId="0" applyAlignment="1" applyFill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0" fillId="4" fontId="1" numFmtId="2" xfId="0" applyFont="1" applyNumberFormat="1"/>
    <xf borderId="0" fillId="5" fontId="1" numFmtId="2" xfId="0" applyFont="1" applyNumberFormat="1"/>
    <xf borderId="0" fillId="6" fontId="1" numFmtId="2" xfId="0" applyFill="1" applyFont="1" applyNumberFormat="1"/>
    <xf borderId="0" fillId="6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Answ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30" displayName="Form_Responses1" name="Form_Responses1" id="1">
  <tableColumns count="11">
    <tableColumn name="Отметка времени" id="1"/>
    <tableColumn name="Recommendation ID:" id="2"/>
    <tableColumn name="Source" id="3"/>
    <tableColumn name="AI model" id="4"/>
    <tableColumn name="Effectiveness: Considering the participant's health history and wearable device data, how effective is the recommended supplement recipe for addressing the participant's anti-aging goals?" id="5"/>
    <tableColumn name="Safety: Based on the participant's health profile, does the recommendation consider and evidences possible risks,  potential contraindications, interactions, or other adverse effects?" id="6"/>
    <tableColumn name="Personalization: How effectively does the recommendation reflect the individual participant's specific health characteristics, lifestyle, and wearable device metrics?" id="7"/>
    <tableColumn name="Overall Suitability: Considering all the above criteria collectively, how suitable is this recommendation overall for the participant?" id="8"/>
    <tableColumn name="Authorship: Do you think that this recommendation was done by an AI tool or by a person?" id="9"/>
    <tableColumn name="Your full name" id="10"/>
    <tableColumn name="Assessor" id="11"/>
  </tableColumns>
  <tableStyleInfo name="Answ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0.5"/>
    <col customWidth="1" min="3" max="3" width="18.88"/>
    <col customWidth="1" min="4" max="9" width="37.63"/>
    <col customWidth="1" min="10" max="15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</row>
    <row r="2">
      <c r="A2" s="7">
        <v>45832.03104346065</v>
      </c>
      <c r="B2" s="8">
        <v>1.0</v>
      </c>
      <c r="C2" s="9" t="s">
        <v>11</v>
      </c>
      <c r="D2" s="8" t="s">
        <v>12</v>
      </c>
      <c r="E2" s="8">
        <v>4.0</v>
      </c>
      <c r="F2" s="8">
        <v>3.0</v>
      </c>
      <c r="G2" s="8">
        <v>4.0</v>
      </c>
      <c r="H2" s="8">
        <v>4.0</v>
      </c>
      <c r="I2" s="8">
        <v>4.0</v>
      </c>
      <c r="J2" s="8" t="s">
        <v>13</v>
      </c>
      <c r="K2" s="10" t="s">
        <v>14</v>
      </c>
    </row>
    <row r="3">
      <c r="A3" s="11">
        <v>45832.756288599536</v>
      </c>
      <c r="B3" s="12">
        <v>3.0</v>
      </c>
      <c r="C3" s="13" t="s">
        <v>11</v>
      </c>
      <c r="D3" s="12" t="s">
        <v>15</v>
      </c>
      <c r="E3" s="12">
        <v>3.0</v>
      </c>
      <c r="F3" s="12">
        <v>3.0</v>
      </c>
      <c r="G3" s="12">
        <v>2.0</v>
      </c>
      <c r="H3" s="12">
        <v>3.0</v>
      </c>
      <c r="I3" s="12">
        <v>4.0</v>
      </c>
      <c r="J3" s="12" t="s">
        <v>16</v>
      </c>
      <c r="K3" s="14" t="s">
        <v>17</v>
      </c>
    </row>
    <row r="4">
      <c r="A4" s="15">
        <v>45831.24081008101</v>
      </c>
      <c r="B4" s="16">
        <v>4.0</v>
      </c>
      <c r="C4" s="9" t="s">
        <v>18</v>
      </c>
      <c r="D4" s="16"/>
      <c r="E4" s="16">
        <v>4.0</v>
      </c>
      <c r="F4" s="16">
        <v>4.0</v>
      </c>
      <c r="G4" s="16">
        <v>5.0</v>
      </c>
      <c r="H4" s="16">
        <v>4.0</v>
      </c>
      <c r="I4" s="16">
        <v>3.0</v>
      </c>
      <c r="J4" s="16" t="s">
        <v>19</v>
      </c>
      <c r="K4" s="17"/>
    </row>
    <row r="5">
      <c r="A5" s="11">
        <v>45835.5673394676</v>
      </c>
      <c r="B5" s="12">
        <v>5.0</v>
      </c>
      <c r="C5" s="13" t="s">
        <v>11</v>
      </c>
      <c r="D5" s="12" t="s">
        <v>20</v>
      </c>
      <c r="E5" s="12">
        <v>5.0</v>
      </c>
      <c r="F5" s="12">
        <v>5.0</v>
      </c>
      <c r="G5" s="12">
        <v>4.0</v>
      </c>
      <c r="H5" s="12">
        <v>5.0</v>
      </c>
      <c r="I5" s="12">
        <v>4.0</v>
      </c>
      <c r="J5" s="12" t="s">
        <v>21</v>
      </c>
      <c r="K5" s="14" t="s">
        <v>22</v>
      </c>
    </row>
    <row r="6">
      <c r="A6" s="7">
        <v>45832.03423322916</v>
      </c>
      <c r="B6" s="8">
        <v>6.0</v>
      </c>
      <c r="C6" s="9" t="s">
        <v>18</v>
      </c>
      <c r="D6" s="8"/>
      <c r="E6" s="8">
        <v>3.0</v>
      </c>
      <c r="F6" s="8">
        <v>2.0</v>
      </c>
      <c r="G6" s="8">
        <v>2.0</v>
      </c>
      <c r="H6" s="8">
        <v>3.0</v>
      </c>
      <c r="I6" s="8">
        <v>2.0</v>
      </c>
      <c r="J6" s="8" t="s">
        <v>13</v>
      </c>
      <c r="K6" s="10" t="s">
        <v>14</v>
      </c>
    </row>
    <row r="7">
      <c r="A7" s="11">
        <v>45837.29017976852</v>
      </c>
      <c r="B7" s="12">
        <v>6.0</v>
      </c>
      <c r="C7" s="13" t="s">
        <v>18</v>
      </c>
      <c r="D7" s="12"/>
      <c r="E7" s="12">
        <v>4.0</v>
      </c>
      <c r="F7" s="12">
        <v>4.0</v>
      </c>
      <c r="G7" s="12">
        <v>4.0</v>
      </c>
      <c r="H7" s="12">
        <v>4.0</v>
      </c>
      <c r="I7" s="12">
        <v>4.0</v>
      </c>
      <c r="J7" s="12" t="s">
        <v>23</v>
      </c>
      <c r="K7" s="14" t="s">
        <v>24</v>
      </c>
    </row>
    <row r="8">
      <c r="A8" s="7">
        <v>45832.75901886574</v>
      </c>
      <c r="B8" s="8">
        <v>7.0</v>
      </c>
      <c r="C8" s="9" t="s">
        <v>18</v>
      </c>
      <c r="D8" s="8"/>
      <c r="E8" s="8">
        <v>4.0</v>
      </c>
      <c r="F8" s="8">
        <v>3.0</v>
      </c>
      <c r="G8" s="8">
        <v>4.0</v>
      </c>
      <c r="H8" s="8">
        <v>3.0</v>
      </c>
      <c r="I8" s="8">
        <v>2.0</v>
      </c>
      <c r="J8" s="8" t="s">
        <v>16</v>
      </c>
      <c r="K8" s="18" t="s">
        <v>17</v>
      </c>
    </row>
    <row r="9">
      <c r="A9" s="11">
        <v>45837.298003275464</v>
      </c>
      <c r="B9" s="12">
        <v>7.0</v>
      </c>
      <c r="C9" s="13" t="s">
        <v>18</v>
      </c>
      <c r="D9" s="12"/>
      <c r="E9" s="12">
        <v>3.0</v>
      </c>
      <c r="F9" s="12">
        <v>3.0</v>
      </c>
      <c r="G9" s="12">
        <v>2.0</v>
      </c>
      <c r="H9" s="12">
        <v>4.0</v>
      </c>
      <c r="I9" s="12">
        <v>3.0</v>
      </c>
      <c r="J9" s="12" t="s">
        <v>25</v>
      </c>
      <c r="K9" s="14" t="s">
        <v>26</v>
      </c>
    </row>
    <row r="10">
      <c r="A10" s="7">
        <v>45832.75961405093</v>
      </c>
      <c r="B10" s="8">
        <v>8.0</v>
      </c>
      <c r="C10" s="9" t="s">
        <v>18</v>
      </c>
      <c r="D10" s="8"/>
      <c r="E10" s="8">
        <v>2.0</v>
      </c>
      <c r="F10" s="8">
        <v>2.0</v>
      </c>
      <c r="G10" s="8">
        <v>3.0</v>
      </c>
      <c r="H10" s="8">
        <v>3.0</v>
      </c>
      <c r="I10" s="8">
        <v>2.0</v>
      </c>
      <c r="J10" s="8" t="s">
        <v>16</v>
      </c>
      <c r="K10" s="18" t="s">
        <v>17</v>
      </c>
    </row>
    <row r="11">
      <c r="A11" s="11">
        <v>45832.03567673611</v>
      </c>
      <c r="B11" s="12">
        <v>9.0</v>
      </c>
      <c r="C11" s="13" t="s">
        <v>18</v>
      </c>
      <c r="D11" s="12"/>
      <c r="E11" s="12">
        <v>3.0</v>
      </c>
      <c r="F11" s="12">
        <v>3.0</v>
      </c>
      <c r="G11" s="12">
        <v>4.0</v>
      </c>
      <c r="H11" s="12">
        <v>4.0</v>
      </c>
      <c r="I11" s="12">
        <v>3.0</v>
      </c>
      <c r="J11" s="12" t="s">
        <v>13</v>
      </c>
      <c r="K11" s="10" t="s">
        <v>14</v>
      </c>
    </row>
    <row r="12">
      <c r="A12" s="7">
        <v>45837.2981875</v>
      </c>
      <c r="B12" s="8">
        <v>9.0</v>
      </c>
      <c r="C12" s="9" t="s">
        <v>18</v>
      </c>
      <c r="D12" s="8"/>
      <c r="E12" s="8">
        <v>4.0</v>
      </c>
      <c r="F12" s="8">
        <v>3.0</v>
      </c>
      <c r="G12" s="8">
        <v>3.0</v>
      </c>
      <c r="H12" s="8">
        <v>2.0</v>
      </c>
      <c r="I12" s="8">
        <v>1.0</v>
      </c>
      <c r="J12" s="8" t="s">
        <v>25</v>
      </c>
      <c r="K12" s="18" t="s">
        <v>26</v>
      </c>
    </row>
    <row r="13">
      <c r="A13" s="11">
        <v>45853.413442233796</v>
      </c>
      <c r="B13" s="12">
        <v>10.0</v>
      </c>
      <c r="C13" s="13" t="s">
        <v>18</v>
      </c>
      <c r="D13" s="12"/>
      <c r="E13" s="12">
        <v>3.0</v>
      </c>
      <c r="F13" s="12">
        <v>4.0</v>
      </c>
      <c r="G13" s="12">
        <v>5.0</v>
      </c>
      <c r="H13" s="12">
        <v>4.0</v>
      </c>
      <c r="I13" s="12">
        <v>3.0</v>
      </c>
      <c r="J13" s="12" t="s">
        <v>27</v>
      </c>
      <c r="K13" s="10" t="s">
        <v>28</v>
      </c>
    </row>
    <row r="14">
      <c r="A14" s="7">
        <v>45835.567820729164</v>
      </c>
      <c r="B14" s="8">
        <v>11.0</v>
      </c>
      <c r="C14" s="9" t="s">
        <v>11</v>
      </c>
      <c r="D14" s="8" t="s">
        <v>15</v>
      </c>
      <c r="E14" s="8">
        <v>5.0</v>
      </c>
      <c r="F14" s="8">
        <v>5.0</v>
      </c>
      <c r="G14" s="8">
        <v>5.0</v>
      </c>
      <c r="H14" s="8">
        <v>5.0</v>
      </c>
      <c r="I14" s="8">
        <v>5.0</v>
      </c>
      <c r="J14" s="8" t="s">
        <v>21</v>
      </c>
      <c r="K14" s="18" t="s">
        <v>22</v>
      </c>
    </row>
    <row r="15">
      <c r="A15" s="11">
        <v>45853.01414997685</v>
      </c>
      <c r="B15" s="12">
        <v>11.0</v>
      </c>
      <c r="C15" s="13" t="s">
        <v>11</v>
      </c>
      <c r="D15" s="12" t="s">
        <v>15</v>
      </c>
      <c r="E15" s="12">
        <v>4.0</v>
      </c>
      <c r="F15" s="12">
        <v>5.0</v>
      </c>
      <c r="G15" s="12">
        <v>5.0</v>
      </c>
      <c r="H15" s="12">
        <v>5.0</v>
      </c>
      <c r="I15" s="12">
        <v>3.0</v>
      </c>
      <c r="J15" s="12" t="s">
        <v>29</v>
      </c>
      <c r="K15" s="19"/>
    </row>
    <row r="16">
      <c r="A16" s="7">
        <v>45853.41600359954</v>
      </c>
      <c r="B16" s="8">
        <v>11.0</v>
      </c>
      <c r="C16" s="9" t="s">
        <v>11</v>
      </c>
      <c r="D16" s="8" t="s">
        <v>15</v>
      </c>
      <c r="E16" s="8">
        <v>4.0</v>
      </c>
      <c r="F16" s="8">
        <v>4.0</v>
      </c>
      <c r="G16" s="8">
        <v>4.0</v>
      </c>
      <c r="H16" s="8">
        <v>4.0</v>
      </c>
      <c r="I16" s="8">
        <v>3.0</v>
      </c>
      <c r="J16" s="8" t="s">
        <v>27</v>
      </c>
      <c r="K16" s="10" t="s">
        <v>28</v>
      </c>
    </row>
    <row r="17">
      <c r="A17" s="11">
        <v>45835.56836640046</v>
      </c>
      <c r="B17" s="12">
        <v>12.0</v>
      </c>
      <c r="C17" s="13" t="s">
        <v>18</v>
      </c>
      <c r="D17" s="12"/>
      <c r="E17" s="12">
        <v>4.0</v>
      </c>
      <c r="F17" s="12">
        <v>4.0</v>
      </c>
      <c r="G17" s="12">
        <v>5.0</v>
      </c>
      <c r="H17" s="12">
        <v>5.0</v>
      </c>
      <c r="I17" s="12">
        <v>4.0</v>
      </c>
      <c r="J17" s="12" t="s">
        <v>21</v>
      </c>
      <c r="K17" s="14" t="s">
        <v>22</v>
      </c>
    </row>
    <row r="18">
      <c r="A18" s="7">
        <v>45837.29046805555</v>
      </c>
      <c r="B18" s="8">
        <v>12.0</v>
      </c>
      <c r="C18" s="9" t="s">
        <v>18</v>
      </c>
      <c r="D18" s="8"/>
      <c r="E18" s="8">
        <v>4.0</v>
      </c>
      <c r="F18" s="8">
        <v>4.0</v>
      </c>
      <c r="G18" s="8">
        <v>4.0</v>
      </c>
      <c r="H18" s="8">
        <v>4.0</v>
      </c>
      <c r="I18" s="8">
        <v>4.0</v>
      </c>
      <c r="J18" s="8" t="s">
        <v>23</v>
      </c>
      <c r="K18" s="18" t="s">
        <v>24</v>
      </c>
    </row>
    <row r="19">
      <c r="A19" s="11">
        <v>45837.29839773148</v>
      </c>
      <c r="B19" s="12">
        <v>12.0</v>
      </c>
      <c r="C19" s="13" t="s">
        <v>18</v>
      </c>
      <c r="D19" s="12"/>
      <c r="E19" s="12">
        <v>5.0</v>
      </c>
      <c r="F19" s="12">
        <v>3.0</v>
      </c>
      <c r="G19" s="12">
        <v>3.0</v>
      </c>
      <c r="H19" s="12">
        <v>1.0</v>
      </c>
      <c r="I19" s="12">
        <v>4.0</v>
      </c>
      <c r="J19" s="12" t="s">
        <v>25</v>
      </c>
      <c r="K19" s="14" t="s">
        <v>26</v>
      </c>
    </row>
    <row r="20">
      <c r="A20" s="7">
        <v>45853.41665101852</v>
      </c>
      <c r="B20" s="8">
        <v>13.0</v>
      </c>
      <c r="C20" s="9" t="s">
        <v>18</v>
      </c>
      <c r="D20" s="8"/>
      <c r="E20" s="8">
        <v>4.0</v>
      </c>
      <c r="F20" s="8">
        <v>5.0</v>
      </c>
      <c r="G20" s="8">
        <v>4.0</v>
      </c>
      <c r="H20" s="8">
        <v>4.0</v>
      </c>
      <c r="I20" s="8">
        <v>4.0</v>
      </c>
      <c r="J20" s="8" t="s">
        <v>27</v>
      </c>
      <c r="K20" s="10" t="s">
        <v>28</v>
      </c>
    </row>
    <row r="21">
      <c r="A21" s="11">
        <v>45832.03869152778</v>
      </c>
      <c r="B21" s="12">
        <v>14.0</v>
      </c>
      <c r="C21" s="13" t="s">
        <v>11</v>
      </c>
      <c r="D21" s="12" t="s">
        <v>15</v>
      </c>
      <c r="E21" s="12">
        <v>4.0</v>
      </c>
      <c r="F21" s="12">
        <v>3.0</v>
      </c>
      <c r="G21" s="12">
        <v>3.0</v>
      </c>
      <c r="H21" s="12">
        <v>4.0</v>
      </c>
      <c r="I21" s="12">
        <v>4.0</v>
      </c>
      <c r="J21" s="12" t="s">
        <v>13</v>
      </c>
      <c r="K21" s="10" t="s">
        <v>14</v>
      </c>
    </row>
    <row r="22">
      <c r="A22" s="7">
        <v>45832.03968311343</v>
      </c>
      <c r="B22" s="8">
        <v>15.0</v>
      </c>
      <c r="C22" s="9" t="s">
        <v>11</v>
      </c>
      <c r="D22" s="8" t="s">
        <v>20</v>
      </c>
      <c r="E22" s="8">
        <v>5.0</v>
      </c>
      <c r="F22" s="8">
        <v>4.0</v>
      </c>
      <c r="G22" s="8">
        <v>3.0</v>
      </c>
      <c r="H22" s="8">
        <v>3.0</v>
      </c>
      <c r="I22" s="8">
        <v>4.0</v>
      </c>
      <c r="J22" s="8" t="s">
        <v>13</v>
      </c>
      <c r="K22" s="10" t="s">
        <v>14</v>
      </c>
    </row>
    <row r="23">
      <c r="A23" s="11">
        <v>45832.76033600695</v>
      </c>
      <c r="B23" s="12">
        <v>15.0</v>
      </c>
      <c r="C23" s="13" t="s">
        <v>11</v>
      </c>
      <c r="D23" s="12" t="s">
        <v>20</v>
      </c>
      <c r="E23" s="12">
        <v>4.0</v>
      </c>
      <c r="F23" s="12">
        <v>2.0</v>
      </c>
      <c r="G23" s="12">
        <v>1.0</v>
      </c>
      <c r="H23" s="12">
        <v>4.0</v>
      </c>
      <c r="I23" s="12">
        <v>5.0</v>
      </c>
      <c r="J23" s="12" t="s">
        <v>16</v>
      </c>
      <c r="K23" s="14" t="s">
        <v>17</v>
      </c>
    </row>
    <row r="24">
      <c r="A24" s="7">
        <v>45837.29066287037</v>
      </c>
      <c r="B24" s="8">
        <v>15.0</v>
      </c>
      <c r="C24" s="9" t="s">
        <v>11</v>
      </c>
      <c r="D24" s="8" t="s">
        <v>20</v>
      </c>
      <c r="E24" s="8">
        <v>3.0</v>
      </c>
      <c r="F24" s="8">
        <v>2.0</v>
      </c>
      <c r="G24" s="8">
        <v>4.0</v>
      </c>
      <c r="H24" s="8">
        <v>3.0</v>
      </c>
      <c r="I24" s="8">
        <v>4.0</v>
      </c>
      <c r="J24" s="8" t="s">
        <v>23</v>
      </c>
      <c r="K24" s="18" t="s">
        <v>24</v>
      </c>
    </row>
    <row r="25">
      <c r="A25" s="11">
        <v>45832.760982928245</v>
      </c>
      <c r="B25" s="12">
        <v>16.0</v>
      </c>
      <c r="C25" s="13" t="s">
        <v>18</v>
      </c>
      <c r="D25" s="12"/>
      <c r="E25" s="12">
        <v>5.0</v>
      </c>
      <c r="F25" s="12">
        <v>4.0</v>
      </c>
      <c r="G25" s="12">
        <v>4.0</v>
      </c>
      <c r="H25" s="12">
        <v>3.0</v>
      </c>
      <c r="I25" s="12">
        <v>5.0</v>
      </c>
      <c r="J25" s="12" t="s">
        <v>16</v>
      </c>
      <c r="K25" s="14" t="s">
        <v>17</v>
      </c>
    </row>
    <row r="26">
      <c r="A26" s="7">
        <v>45837.29862037037</v>
      </c>
      <c r="B26" s="8">
        <v>16.0</v>
      </c>
      <c r="C26" s="9" t="s">
        <v>18</v>
      </c>
      <c r="D26" s="8"/>
      <c r="E26" s="8">
        <v>3.0</v>
      </c>
      <c r="F26" s="8">
        <v>3.0</v>
      </c>
      <c r="G26" s="8">
        <v>1.0</v>
      </c>
      <c r="H26" s="8">
        <v>4.0</v>
      </c>
      <c r="I26" s="8">
        <v>5.0</v>
      </c>
      <c r="J26" s="8" t="s">
        <v>25</v>
      </c>
      <c r="K26" s="18" t="s">
        <v>26</v>
      </c>
    </row>
    <row r="27">
      <c r="A27" s="11">
        <v>45837.29890783565</v>
      </c>
      <c r="B27" s="12">
        <v>16.0</v>
      </c>
      <c r="C27" s="13" t="s">
        <v>18</v>
      </c>
      <c r="D27" s="12"/>
      <c r="E27" s="12">
        <v>3.0</v>
      </c>
      <c r="F27" s="12">
        <v>3.0</v>
      </c>
      <c r="G27" s="12">
        <v>5.0</v>
      </c>
      <c r="H27" s="12">
        <v>3.0</v>
      </c>
      <c r="I27" s="12">
        <v>3.0</v>
      </c>
      <c r="J27" s="12" t="s">
        <v>25</v>
      </c>
      <c r="K27" s="14" t="s">
        <v>26</v>
      </c>
    </row>
    <row r="28">
      <c r="A28" s="7">
        <v>45832.040476967595</v>
      </c>
      <c r="B28" s="8">
        <v>19.0</v>
      </c>
      <c r="C28" s="9" t="s">
        <v>18</v>
      </c>
      <c r="D28" s="8"/>
      <c r="E28" s="8">
        <v>3.0</v>
      </c>
      <c r="F28" s="8">
        <v>3.0</v>
      </c>
      <c r="G28" s="8">
        <v>3.0</v>
      </c>
      <c r="H28" s="8">
        <v>2.0</v>
      </c>
      <c r="I28" s="8">
        <v>5.0</v>
      </c>
      <c r="J28" s="8" t="s">
        <v>13</v>
      </c>
      <c r="K28" s="10" t="s">
        <v>14</v>
      </c>
    </row>
    <row r="29">
      <c r="A29" s="11">
        <v>45853.43110998842</v>
      </c>
      <c r="B29" s="12">
        <v>19.0</v>
      </c>
      <c r="C29" s="13" t="s">
        <v>18</v>
      </c>
      <c r="D29" s="12"/>
      <c r="E29" s="12">
        <v>4.0</v>
      </c>
      <c r="F29" s="12">
        <v>4.0</v>
      </c>
      <c r="G29" s="12">
        <v>3.0</v>
      </c>
      <c r="H29" s="12">
        <v>5.0</v>
      </c>
      <c r="I29" s="12">
        <v>4.0</v>
      </c>
      <c r="J29" s="12" t="s">
        <v>30</v>
      </c>
      <c r="K29" s="10" t="s">
        <v>31</v>
      </c>
    </row>
    <row r="30">
      <c r="A30" s="7">
        <v>45837.299158090274</v>
      </c>
      <c r="B30" s="8">
        <v>20.0</v>
      </c>
      <c r="C30" s="9" t="s">
        <v>11</v>
      </c>
      <c r="D30" s="8" t="s">
        <v>15</v>
      </c>
      <c r="E30" s="8">
        <v>4.0</v>
      </c>
      <c r="F30" s="8">
        <v>4.0</v>
      </c>
      <c r="G30" s="8">
        <v>1.0</v>
      </c>
      <c r="H30" s="8">
        <v>4.0</v>
      </c>
      <c r="I30" s="8">
        <v>4.0</v>
      </c>
      <c r="J30" s="8" t="s">
        <v>25</v>
      </c>
      <c r="K30" s="18" t="s">
        <v>26</v>
      </c>
    </row>
    <row r="31">
      <c r="A31" s="11">
        <v>45832.04125311342</v>
      </c>
      <c r="B31" s="12">
        <v>21.0</v>
      </c>
      <c r="C31" s="13" t="s">
        <v>11</v>
      </c>
      <c r="D31" s="12" t="s">
        <v>12</v>
      </c>
      <c r="E31" s="12">
        <v>4.0</v>
      </c>
      <c r="F31" s="12">
        <v>4.0</v>
      </c>
      <c r="G31" s="12">
        <v>4.0</v>
      </c>
      <c r="H31" s="12">
        <v>4.0</v>
      </c>
      <c r="I31" s="12">
        <v>5.0</v>
      </c>
      <c r="J31" s="12" t="s">
        <v>13</v>
      </c>
      <c r="K31" s="10" t="s">
        <v>14</v>
      </c>
    </row>
    <row r="32">
      <c r="A32" s="7">
        <v>45832.76137917824</v>
      </c>
      <c r="B32" s="8">
        <v>21.0</v>
      </c>
      <c r="C32" s="9" t="s">
        <v>11</v>
      </c>
      <c r="D32" s="8" t="s">
        <v>12</v>
      </c>
      <c r="E32" s="8">
        <v>3.0</v>
      </c>
      <c r="F32" s="8">
        <v>3.0</v>
      </c>
      <c r="G32" s="8">
        <v>2.0</v>
      </c>
      <c r="H32" s="8">
        <v>2.0</v>
      </c>
      <c r="I32" s="8">
        <v>2.0</v>
      </c>
      <c r="J32" s="8" t="s">
        <v>16</v>
      </c>
      <c r="K32" s="18" t="s">
        <v>17</v>
      </c>
    </row>
    <row r="33">
      <c r="A33" s="11">
        <v>45835.56917505787</v>
      </c>
      <c r="B33" s="12">
        <v>22.0</v>
      </c>
      <c r="C33" s="13" t="s">
        <v>18</v>
      </c>
      <c r="D33" s="12"/>
      <c r="E33" s="12">
        <v>4.0</v>
      </c>
      <c r="F33" s="12">
        <v>3.0</v>
      </c>
      <c r="G33" s="12">
        <v>3.0</v>
      </c>
      <c r="H33" s="12">
        <v>3.0</v>
      </c>
      <c r="I33" s="12">
        <v>2.0</v>
      </c>
      <c r="J33" s="12" t="s">
        <v>21</v>
      </c>
      <c r="K33" s="14" t="s">
        <v>22</v>
      </c>
    </row>
    <row r="34">
      <c r="A34" s="7">
        <v>45837.29103060185</v>
      </c>
      <c r="B34" s="8">
        <v>22.0</v>
      </c>
      <c r="C34" s="9" t="s">
        <v>18</v>
      </c>
      <c r="D34" s="8"/>
      <c r="E34" s="8">
        <v>4.0</v>
      </c>
      <c r="F34" s="8">
        <v>2.0</v>
      </c>
      <c r="G34" s="8">
        <v>4.0</v>
      </c>
      <c r="H34" s="8">
        <v>4.0</v>
      </c>
      <c r="I34" s="8">
        <v>4.0</v>
      </c>
      <c r="J34" s="8" t="s">
        <v>23</v>
      </c>
      <c r="K34" s="18" t="s">
        <v>24</v>
      </c>
    </row>
    <row r="35">
      <c r="A35" s="11">
        <v>45835.56959561343</v>
      </c>
      <c r="B35" s="12">
        <v>24.0</v>
      </c>
      <c r="C35" s="13" t="s">
        <v>11</v>
      </c>
      <c r="D35" s="12" t="s">
        <v>20</v>
      </c>
      <c r="E35" s="12">
        <v>5.0</v>
      </c>
      <c r="F35" s="12">
        <v>4.0</v>
      </c>
      <c r="G35" s="12">
        <v>5.0</v>
      </c>
      <c r="H35" s="12">
        <v>5.0</v>
      </c>
      <c r="I35" s="12">
        <v>4.0</v>
      </c>
      <c r="J35" s="12" t="s">
        <v>21</v>
      </c>
      <c r="K35" s="14" t="s">
        <v>22</v>
      </c>
    </row>
    <row r="36">
      <c r="A36" s="7">
        <v>45853.43168109954</v>
      </c>
      <c r="B36" s="8">
        <v>24.0</v>
      </c>
      <c r="C36" s="9" t="s">
        <v>11</v>
      </c>
      <c r="D36" s="8" t="s">
        <v>20</v>
      </c>
      <c r="E36" s="8">
        <v>4.0</v>
      </c>
      <c r="F36" s="8">
        <v>4.0</v>
      </c>
      <c r="G36" s="8">
        <v>5.0</v>
      </c>
      <c r="H36" s="8">
        <v>5.0</v>
      </c>
      <c r="I36" s="8">
        <v>5.0</v>
      </c>
      <c r="J36" s="8" t="s">
        <v>30</v>
      </c>
      <c r="K36" s="10" t="s">
        <v>31</v>
      </c>
    </row>
    <row r="37">
      <c r="A37" s="11">
        <v>45832.041964502314</v>
      </c>
      <c r="B37" s="12">
        <v>26.0</v>
      </c>
      <c r="C37" s="13" t="s">
        <v>11</v>
      </c>
      <c r="D37" s="12" t="s">
        <v>12</v>
      </c>
      <c r="E37" s="12">
        <v>4.0</v>
      </c>
      <c r="F37" s="12">
        <v>2.0</v>
      </c>
      <c r="G37" s="12">
        <v>4.0</v>
      </c>
      <c r="H37" s="12">
        <v>4.0</v>
      </c>
      <c r="I37" s="12">
        <v>4.0</v>
      </c>
      <c r="J37" s="12" t="s">
        <v>32</v>
      </c>
      <c r="K37" s="10" t="s">
        <v>14</v>
      </c>
    </row>
    <row r="38">
      <c r="A38" s="7">
        <v>45853.41736813658</v>
      </c>
      <c r="B38" s="8">
        <v>26.0</v>
      </c>
      <c r="C38" s="9" t="s">
        <v>11</v>
      </c>
      <c r="D38" s="8" t="s">
        <v>12</v>
      </c>
      <c r="E38" s="8">
        <v>3.0</v>
      </c>
      <c r="F38" s="8">
        <v>5.0</v>
      </c>
      <c r="G38" s="8">
        <v>3.0</v>
      </c>
      <c r="H38" s="8">
        <v>3.0</v>
      </c>
      <c r="I38" s="8">
        <v>3.0</v>
      </c>
      <c r="J38" s="8" t="s">
        <v>27</v>
      </c>
      <c r="K38" s="10" t="s">
        <v>28</v>
      </c>
    </row>
    <row r="39">
      <c r="A39" s="11">
        <v>45837.2913187963</v>
      </c>
      <c r="B39" s="12">
        <v>27.0</v>
      </c>
      <c r="C39" s="13" t="s">
        <v>11</v>
      </c>
      <c r="D39" s="12" t="s">
        <v>20</v>
      </c>
      <c r="E39" s="12">
        <v>3.0</v>
      </c>
      <c r="F39" s="12">
        <v>4.0</v>
      </c>
      <c r="G39" s="12">
        <v>4.0</v>
      </c>
      <c r="H39" s="12">
        <v>5.0</v>
      </c>
      <c r="I39" s="12">
        <v>3.0</v>
      </c>
      <c r="J39" s="12" t="s">
        <v>23</v>
      </c>
      <c r="K39" s="14" t="s">
        <v>24</v>
      </c>
    </row>
    <row r="40">
      <c r="A40" s="7">
        <v>45832.761804340276</v>
      </c>
      <c r="B40" s="8">
        <v>28.0</v>
      </c>
      <c r="C40" s="9" t="s">
        <v>11</v>
      </c>
      <c r="D40" s="8" t="s">
        <v>20</v>
      </c>
      <c r="E40" s="8">
        <v>4.0</v>
      </c>
      <c r="F40" s="8">
        <v>4.0</v>
      </c>
      <c r="G40" s="8">
        <v>2.0</v>
      </c>
      <c r="H40" s="8">
        <v>4.0</v>
      </c>
      <c r="I40" s="8">
        <v>3.0</v>
      </c>
      <c r="J40" s="8" t="s">
        <v>16</v>
      </c>
      <c r="K40" s="18" t="s">
        <v>17</v>
      </c>
    </row>
    <row r="41">
      <c r="A41" s="11">
        <v>45837.29934329861</v>
      </c>
      <c r="B41" s="12">
        <v>28.0</v>
      </c>
      <c r="C41" s="13" t="s">
        <v>11</v>
      </c>
      <c r="D41" s="12" t="s">
        <v>20</v>
      </c>
      <c r="E41" s="12">
        <v>4.0</v>
      </c>
      <c r="F41" s="12">
        <v>3.0</v>
      </c>
      <c r="G41" s="12">
        <v>2.0</v>
      </c>
      <c r="H41" s="12">
        <v>1.0</v>
      </c>
      <c r="I41" s="12">
        <v>4.0</v>
      </c>
      <c r="J41" s="12" t="s">
        <v>25</v>
      </c>
      <c r="K41" s="14" t="s">
        <v>26</v>
      </c>
    </row>
    <row r="42">
      <c r="A42" s="7">
        <v>45853.42145521991</v>
      </c>
      <c r="B42" s="8">
        <v>29.0</v>
      </c>
      <c r="C42" s="9" t="s">
        <v>18</v>
      </c>
      <c r="D42" s="8"/>
      <c r="E42" s="8">
        <v>4.0</v>
      </c>
      <c r="F42" s="8">
        <v>4.0</v>
      </c>
      <c r="G42" s="8">
        <v>3.0</v>
      </c>
      <c r="H42" s="8">
        <v>4.0</v>
      </c>
      <c r="I42" s="8">
        <v>4.0</v>
      </c>
      <c r="J42" s="8" t="s">
        <v>27</v>
      </c>
      <c r="K42" s="10" t="s">
        <v>28</v>
      </c>
    </row>
    <row r="43">
      <c r="A43" s="11">
        <v>45853.422245775466</v>
      </c>
      <c r="B43" s="12">
        <v>29.0</v>
      </c>
      <c r="C43" s="13" t="s">
        <v>18</v>
      </c>
      <c r="D43" s="12"/>
      <c r="E43" s="12">
        <v>4.0</v>
      </c>
      <c r="F43" s="12">
        <v>4.0</v>
      </c>
      <c r="G43" s="12">
        <v>4.0</v>
      </c>
      <c r="H43" s="12">
        <v>3.0</v>
      </c>
      <c r="I43" s="12">
        <v>4.0</v>
      </c>
      <c r="J43" s="12" t="s">
        <v>27</v>
      </c>
      <c r="K43" s="10" t="s">
        <v>28</v>
      </c>
    </row>
    <row r="44">
      <c r="A44" s="7">
        <v>45832.04264318287</v>
      </c>
      <c r="B44" s="8">
        <v>30.0</v>
      </c>
      <c r="C44" s="9" t="s">
        <v>11</v>
      </c>
      <c r="D44" s="8" t="s">
        <v>20</v>
      </c>
      <c r="E44" s="8">
        <v>3.0</v>
      </c>
      <c r="F44" s="8">
        <v>3.0</v>
      </c>
      <c r="G44" s="8">
        <v>4.0</v>
      </c>
      <c r="H44" s="8">
        <v>3.0</v>
      </c>
      <c r="I44" s="8">
        <v>3.0</v>
      </c>
      <c r="J44" s="8" t="s">
        <v>13</v>
      </c>
      <c r="K44" s="10" t="s">
        <v>14</v>
      </c>
    </row>
    <row r="45">
      <c r="A45" s="11">
        <v>45832.76230041667</v>
      </c>
      <c r="B45" s="12">
        <v>30.0</v>
      </c>
      <c r="C45" s="13" t="s">
        <v>11</v>
      </c>
      <c r="D45" s="12" t="s">
        <v>20</v>
      </c>
      <c r="E45" s="12">
        <v>4.0</v>
      </c>
      <c r="F45" s="12">
        <v>4.0</v>
      </c>
      <c r="G45" s="12">
        <v>3.0</v>
      </c>
      <c r="H45" s="12">
        <v>2.0</v>
      </c>
      <c r="I45" s="12">
        <v>4.0</v>
      </c>
      <c r="J45" s="12" t="s">
        <v>16</v>
      </c>
      <c r="K45" s="14" t="s">
        <v>17</v>
      </c>
    </row>
    <row r="46">
      <c r="A46" s="7">
        <v>45835.57001137732</v>
      </c>
      <c r="B46" s="8">
        <v>31.0</v>
      </c>
      <c r="C46" s="9" t="s">
        <v>11</v>
      </c>
      <c r="D46" s="8" t="s">
        <v>12</v>
      </c>
      <c r="E46" s="8">
        <v>4.0</v>
      </c>
      <c r="F46" s="8">
        <v>4.0</v>
      </c>
      <c r="G46" s="8">
        <v>3.0</v>
      </c>
      <c r="H46" s="8">
        <v>3.0</v>
      </c>
      <c r="I46" s="8">
        <v>3.0</v>
      </c>
      <c r="J46" s="8" t="s">
        <v>21</v>
      </c>
      <c r="K46" s="18" t="s">
        <v>22</v>
      </c>
    </row>
    <row r="47">
      <c r="A47" s="11">
        <v>45853.432249652775</v>
      </c>
      <c r="B47" s="12">
        <v>32.0</v>
      </c>
      <c r="C47" s="13" t="s">
        <v>18</v>
      </c>
      <c r="D47" s="12"/>
      <c r="E47" s="12">
        <v>4.0</v>
      </c>
      <c r="F47" s="12">
        <v>4.0</v>
      </c>
      <c r="G47" s="12">
        <v>4.0</v>
      </c>
      <c r="H47" s="12">
        <v>4.0</v>
      </c>
      <c r="I47" s="12">
        <v>4.0</v>
      </c>
      <c r="J47" s="12" t="s">
        <v>30</v>
      </c>
      <c r="K47" s="10" t="s">
        <v>31</v>
      </c>
    </row>
    <row r="48">
      <c r="A48" s="7">
        <v>45837.291571967595</v>
      </c>
      <c r="B48" s="8">
        <v>33.0</v>
      </c>
      <c r="C48" s="9" t="s">
        <v>11</v>
      </c>
      <c r="D48" s="8" t="s">
        <v>12</v>
      </c>
      <c r="E48" s="8">
        <v>4.0</v>
      </c>
      <c r="F48" s="8">
        <v>2.0</v>
      </c>
      <c r="G48" s="8">
        <v>4.0</v>
      </c>
      <c r="H48" s="8">
        <v>2.0</v>
      </c>
      <c r="I48" s="8">
        <v>4.0</v>
      </c>
      <c r="J48" s="8" t="s">
        <v>23</v>
      </c>
      <c r="K48" s="18" t="s">
        <v>24</v>
      </c>
    </row>
    <row r="49">
      <c r="A49" s="11">
        <v>45832.04342318287</v>
      </c>
      <c r="B49" s="12">
        <v>34.0</v>
      </c>
      <c r="C49" s="13" t="s">
        <v>18</v>
      </c>
      <c r="D49" s="12"/>
      <c r="E49" s="12">
        <v>4.0</v>
      </c>
      <c r="F49" s="12">
        <v>4.0</v>
      </c>
      <c r="G49" s="12">
        <v>3.0</v>
      </c>
      <c r="H49" s="12">
        <v>4.0</v>
      </c>
      <c r="I49" s="12">
        <v>4.0</v>
      </c>
      <c r="J49" s="12" t="s">
        <v>13</v>
      </c>
      <c r="K49" s="10" t="s">
        <v>14</v>
      </c>
    </row>
    <row r="50">
      <c r="A50" s="7">
        <v>45832.76276479167</v>
      </c>
      <c r="B50" s="8">
        <v>34.0</v>
      </c>
      <c r="C50" s="9" t="s">
        <v>18</v>
      </c>
      <c r="D50" s="8"/>
      <c r="E50" s="8">
        <v>2.0</v>
      </c>
      <c r="F50" s="8">
        <v>3.0</v>
      </c>
      <c r="G50" s="8">
        <v>4.0</v>
      </c>
      <c r="H50" s="8">
        <v>2.0</v>
      </c>
      <c r="I50" s="8">
        <v>4.0</v>
      </c>
      <c r="J50" s="8" t="s">
        <v>16</v>
      </c>
      <c r="K50" s="18" t="s">
        <v>17</v>
      </c>
    </row>
    <row r="51">
      <c r="A51" s="11">
        <v>45835.57084642361</v>
      </c>
      <c r="B51" s="12">
        <v>34.0</v>
      </c>
      <c r="C51" s="13" t="s">
        <v>18</v>
      </c>
      <c r="D51" s="12"/>
      <c r="E51" s="12">
        <v>4.0</v>
      </c>
      <c r="F51" s="12">
        <v>3.0</v>
      </c>
      <c r="G51" s="12">
        <v>3.0</v>
      </c>
      <c r="H51" s="12">
        <v>3.0</v>
      </c>
      <c r="I51" s="12">
        <v>3.0</v>
      </c>
      <c r="J51" s="12" t="s">
        <v>21</v>
      </c>
      <c r="K51" s="14" t="s">
        <v>22</v>
      </c>
    </row>
    <row r="52">
      <c r="A52" s="7">
        <v>45837.299687673614</v>
      </c>
      <c r="B52" s="8">
        <v>35.0</v>
      </c>
      <c r="C52" s="9" t="s">
        <v>18</v>
      </c>
      <c r="D52" s="8"/>
      <c r="E52" s="8">
        <v>4.0</v>
      </c>
      <c r="F52" s="8">
        <v>3.0</v>
      </c>
      <c r="G52" s="8">
        <v>2.0</v>
      </c>
      <c r="H52" s="8">
        <v>5.0</v>
      </c>
      <c r="I52" s="8">
        <v>4.0</v>
      </c>
      <c r="J52" s="8" t="s">
        <v>25</v>
      </c>
      <c r="K52" s="18" t="s">
        <v>26</v>
      </c>
    </row>
    <row r="53">
      <c r="A53" s="11">
        <v>45853.42274883101</v>
      </c>
      <c r="B53" s="12">
        <v>35.0</v>
      </c>
      <c r="C53" s="13" t="s">
        <v>18</v>
      </c>
      <c r="D53" s="12"/>
      <c r="E53" s="12">
        <v>4.0</v>
      </c>
      <c r="F53" s="12">
        <v>4.0</v>
      </c>
      <c r="G53" s="12">
        <v>4.0</v>
      </c>
      <c r="H53" s="12">
        <v>3.0</v>
      </c>
      <c r="I53" s="12">
        <v>4.0</v>
      </c>
      <c r="J53" s="12" t="s">
        <v>27</v>
      </c>
      <c r="K53" s="10" t="s">
        <v>28</v>
      </c>
    </row>
    <row r="54">
      <c r="A54" s="7">
        <v>45832.7632225</v>
      </c>
      <c r="B54" s="8">
        <v>36.0</v>
      </c>
      <c r="C54" s="9" t="s">
        <v>11</v>
      </c>
      <c r="D54" s="8" t="s">
        <v>15</v>
      </c>
      <c r="E54" s="8">
        <v>4.0</v>
      </c>
      <c r="F54" s="8">
        <v>4.0</v>
      </c>
      <c r="G54" s="8">
        <v>3.0</v>
      </c>
      <c r="H54" s="8">
        <v>4.0</v>
      </c>
      <c r="I54" s="8">
        <v>2.0</v>
      </c>
      <c r="J54" s="8" t="s">
        <v>16</v>
      </c>
      <c r="K54" s="18" t="s">
        <v>17</v>
      </c>
    </row>
    <row r="55">
      <c r="A55" s="11">
        <v>45837.29192184028</v>
      </c>
      <c r="B55" s="12">
        <v>37.0</v>
      </c>
      <c r="C55" s="13" t="s">
        <v>11</v>
      </c>
      <c r="D55" s="12" t="s">
        <v>20</v>
      </c>
      <c r="E55" s="12">
        <v>4.0</v>
      </c>
      <c r="F55" s="12">
        <v>3.0</v>
      </c>
      <c r="G55" s="12">
        <v>2.0</v>
      </c>
      <c r="H55" s="12">
        <v>4.0</v>
      </c>
      <c r="I55" s="12">
        <v>5.0</v>
      </c>
      <c r="J55" s="12" t="s">
        <v>23</v>
      </c>
      <c r="K55" s="14" t="s">
        <v>24</v>
      </c>
    </row>
    <row r="56">
      <c r="A56" s="7">
        <v>45853.43266377314</v>
      </c>
      <c r="B56" s="8">
        <v>38.0</v>
      </c>
      <c r="C56" s="9" t="s">
        <v>11</v>
      </c>
      <c r="D56" s="8" t="s">
        <v>20</v>
      </c>
      <c r="E56" s="8">
        <v>4.0</v>
      </c>
      <c r="F56" s="8">
        <v>4.0</v>
      </c>
      <c r="G56" s="8">
        <v>4.0</v>
      </c>
      <c r="H56" s="8">
        <v>4.0</v>
      </c>
      <c r="I56" s="8">
        <v>4.0</v>
      </c>
      <c r="J56" s="8" t="s">
        <v>30</v>
      </c>
      <c r="K56" s="10" t="s">
        <v>31</v>
      </c>
    </row>
    <row r="57">
      <c r="A57" s="11">
        <v>45837.292189618056</v>
      </c>
      <c r="B57" s="12">
        <v>39.0</v>
      </c>
      <c r="C57" s="13" t="s">
        <v>18</v>
      </c>
      <c r="D57" s="12"/>
      <c r="E57" s="12">
        <v>3.0</v>
      </c>
      <c r="F57" s="12">
        <v>3.0</v>
      </c>
      <c r="G57" s="12">
        <v>2.0</v>
      </c>
      <c r="H57" s="12">
        <v>3.0</v>
      </c>
      <c r="I57" s="12">
        <v>3.0</v>
      </c>
      <c r="J57" s="12" t="s">
        <v>23</v>
      </c>
      <c r="K57" s="14" t="s">
        <v>24</v>
      </c>
    </row>
    <row r="58">
      <c r="A58" s="7">
        <v>45837.29991689815</v>
      </c>
      <c r="B58" s="8">
        <v>39.0</v>
      </c>
      <c r="C58" s="9" t="s">
        <v>18</v>
      </c>
      <c r="D58" s="8"/>
      <c r="E58" s="8">
        <v>4.0</v>
      </c>
      <c r="F58" s="8">
        <v>2.0</v>
      </c>
      <c r="G58" s="8">
        <v>3.0</v>
      </c>
      <c r="H58" s="8">
        <v>4.0</v>
      </c>
      <c r="I58" s="8">
        <v>2.0</v>
      </c>
      <c r="J58" s="8" t="s">
        <v>25</v>
      </c>
      <c r="K58" s="18" t="s">
        <v>26</v>
      </c>
    </row>
    <row r="59">
      <c r="A59" s="11">
        <v>45835.57128023148</v>
      </c>
      <c r="B59" s="12">
        <v>40.0</v>
      </c>
      <c r="C59" s="13" t="s">
        <v>18</v>
      </c>
      <c r="D59" s="12"/>
      <c r="E59" s="12">
        <v>5.0</v>
      </c>
      <c r="F59" s="12">
        <v>4.0</v>
      </c>
      <c r="G59" s="12">
        <v>4.0</v>
      </c>
      <c r="H59" s="12">
        <v>3.0</v>
      </c>
      <c r="I59" s="12">
        <v>4.0</v>
      </c>
      <c r="J59" s="12" t="s">
        <v>21</v>
      </c>
      <c r="K59" s="14" t="s">
        <v>22</v>
      </c>
    </row>
    <row r="60">
      <c r="A60" s="7">
        <v>45837.292337499995</v>
      </c>
      <c r="B60" s="8">
        <v>40.0</v>
      </c>
      <c r="C60" s="9" t="s">
        <v>18</v>
      </c>
      <c r="D60" s="8"/>
      <c r="E60" s="8">
        <v>5.0</v>
      </c>
      <c r="F60" s="8">
        <v>2.0</v>
      </c>
      <c r="G60" s="8">
        <v>2.0</v>
      </c>
      <c r="H60" s="8">
        <v>3.0</v>
      </c>
      <c r="I60" s="8">
        <v>4.0</v>
      </c>
      <c r="J60" s="8" t="s">
        <v>23</v>
      </c>
      <c r="K60" s="18" t="s">
        <v>24</v>
      </c>
    </row>
    <row r="61">
      <c r="A61" s="11">
        <v>45835.571844826394</v>
      </c>
      <c r="B61" s="12">
        <v>41.0</v>
      </c>
      <c r="C61" s="13" t="s">
        <v>11</v>
      </c>
      <c r="D61" s="12" t="s">
        <v>20</v>
      </c>
      <c r="E61" s="12">
        <v>5.0</v>
      </c>
      <c r="F61" s="12">
        <v>5.0</v>
      </c>
      <c r="G61" s="12">
        <v>5.0</v>
      </c>
      <c r="H61" s="12">
        <v>5.0</v>
      </c>
      <c r="I61" s="12">
        <v>4.0</v>
      </c>
      <c r="J61" s="12" t="s">
        <v>21</v>
      </c>
      <c r="K61" s="14" t="s">
        <v>22</v>
      </c>
    </row>
    <row r="62">
      <c r="A62" s="7">
        <v>45837.30011217593</v>
      </c>
      <c r="B62" s="8">
        <v>41.0</v>
      </c>
      <c r="C62" s="9" t="s">
        <v>11</v>
      </c>
      <c r="D62" s="8" t="s">
        <v>20</v>
      </c>
      <c r="E62" s="8">
        <v>5.0</v>
      </c>
      <c r="F62" s="8">
        <v>2.0</v>
      </c>
      <c r="G62" s="8">
        <v>2.0</v>
      </c>
      <c r="H62" s="8">
        <v>3.0</v>
      </c>
      <c r="I62" s="8">
        <v>3.0</v>
      </c>
      <c r="J62" s="8" t="s">
        <v>25</v>
      </c>
      <c r="K62" s="18" t="s">
        <v>26</v>
      </c>
    </row>
    <row r="63">
      <c r="A63" s="11">
        <v>45837.29259096065</v>
      </c>
      <c r="B63" s="12">
        <v>42.0</v>
      </c>
      <c r="C63" s="13" t="s">
        <v>11</v>
      </c>
      <c r="D63" s="12" t="s">
        <v>20</v>
      </c>
      <c r="E63" s="12">
        <v>4.0</v>
      </c>
      <c r="F63" s="12">
        <v>2.0</v>
      </c>
      <c r="G63" s="12">
        <v>3.0</v>
      </c>
      <c r="H63" s="12">
        <v>3.0</v>
      </c>
      <c r="I63" s="12">
        <v>3.0</v>
      </c>
      <c r="J63" s="12" t="s">
        <v>23</v>
      </c>
      <c r="K63" s="14" t="s">
        <v>24</v>
      </c>
    </row>
    <row r="64">
      <c r="A64" s="7">
        <v>45832.763643136575</v>
      </c>
      <c r="B64" s="8">
        <v>43.0</v>
      </c>
      <c r="C64" s="9" t="s">
        <v>18</v>
      </c>
      <c r="D64" s="8"/>
      <c r="E64" s="8">
        <v>2.0</v>
      </c>
      <c r="F64" s="8">
        <v>4.0</v>
      </c>
      <c r="G64" s="8">
        <v>2.0</v>
      </c>
      <c r="H64" s="8">
        <v>2.0</v>
      </c>
      <c r="I64" s="8">
        <v>2.0</v>
      </c>
      <c r="J64" s="8" t="s">
        <v>16</v>
      </c>
      <c r="K64" s="18" t="s">
        <v>17</v>
      </c>
    </row>
    <row r="65">
      <c r="A65" s="11">
        <v>45853.43305013889</v>
      </c>
      <c r="B65" s="12">
        <v>43.0</v>
      </c>
      <c r="C65" s="13" t="s">
        <v>18</v>
      </c>
      <c r="D65" s="12"/>
      <c r="E65" s="12">
        <v>4.0</v>
      </c>
      <c r="F65" s="12">
        <v>4.0</v>
      </c>
      <c r="G65" s="12">
        <v>4.0</v>
      </c>
      <c r="H65" s="12">
        <v>4.0</v>
      </c>
      <c r="I65" s="12">
        <v>4.0</v>
      </c>
      <c r="J65" s="12" t="s">
        <v>30</v>
      </c>
      <c r="K65" s="10" t="s">
        <v>31</v>
      </c>
    </row>
    <row r="66">
      <c r="A66" s="7">
        <v>45832.764159479164</v>
      </c>
      <c r="B66" s="8">
        <v>46.0</v>
      </c>
      <c r="C66" s="9" t="s">
        <v>11</v>
      </c>
      <c r="D66" s="8" t="s">
        <v>12</v>
      </c>
      <c r="E66" s="8">
        <v>2.0</v>
      </c>
      <c r="F66" s="8">
        <v>3.0</v>
      </c>
      <c r="G66" s="8">
        <v>2.0</v>
      </c>
      <c r="H66" s="8">
        <v>3.0</v>
      </c>
      <c r="I66" s="8">
        <v>4.0</v>
      </c>
      <c r="J66" s="8" t="s">
        <v>16</v>
      </c>
      <c r="K66" s="18" t="s">
        <v>17</v>
      </c>
    </row>
    <row r="67">
      <c r="A67" s="11">
        <v>45853.43343716435</v>
      </c>
      <c r="B67" s="12">
        <v>47.0</v>
      </c>
      <c r="C67" s="13" t="s">
        <v>18</v>
      </c>
      <c r="D67" s="12"/>
      <c r="E67" s="12">
        <v>5.0</v>
      </c>
      <c r="F67" s="12">
        <v>5.0</v>
      </c>
      <c r="G67" s="12">
        <v>5.0</v>
      </c>
      <c r="H67" s="12">
        <v>5.0</v>
      </c>
      <c r="I67" s="12">
        <v>5.0</v>
      </c>
      <c r="J67" s="12" t="s">
        <v>30</v>
      </c>
      <c r="K67" s="10" t="s">
        <v>31</v>
      </c>
    </row>
    <row r="68">
      <c r="A68" s="7">
        <v>45837.29282386574</v>
      </c>
      <c r="B68" s="8">
        <v>49.0</v>
      </c>
      <c r="C68" s="9" t="s">
        <v>18</v>
      </c>
      <c r="D68" s="8"/>
      <c r="E68" s="8">
        <v>4.0</v>
      </c>
      <c r="F68" s="8">
        <v>3.0</v>
      </c>
      <c r="G68" s="8">
        <v>4.0</v>
      </c>
      <c r="H68" s="8">
        <v>4.0</v>
      </c>
      <c r="I68" s="8">
        <v>2.0</v>
      </c>
      <c r="J68" s="8" t="s">
        <v>23</v>
      </c>
      <c r="K68" s="18" t="s">
        <v>24</v>
      </c>
    </row>
    <row r="69">
      <c r="A69" s="11">
        <v>45832.76773827546</v>
      </c>
      <c r="B69" s="12">
        <v>50.0</v>
      </c>
      <c r="C69" s="13" t="s">
        <v>11</v>
      </c>
      <c r="D69" s="12" t="s">
        <v>20</v>
      </c>
      <c r="E69" s="12">
        <v>4.0</v>
      </c>
      <c r="F69" s="12">
        <v>3.0</v>
      </c>
      <c r="G69" s="12">
        <v>4.0</v>
      </c>
      <c r="H69" s="12">
        <v>2.0</v>
      </c>
      <c r="I69" s="12">
        <v>4.0</v>
      </c>
      <c r="J69" s="12" t="s">
        <v>16</v>
      </c>
      <c r="K69" s="14" t="s">
        <v>17</v>
      </c>
    </row>
    <row r="70">
      <c r="A70" s="7">
        <v>45837.30038296296</v>
      </c>
      <c r="B70" s="8">
        <v>50.0</v>
      </c>
      <c r="C70" s="9" t="s">
        <v>11</v>
      </c>
      <c r="D70" s="8" t="s">
        <v>20</v>
      </c>
      <c r="E70" s="8">
        <v>5.0</v>
      </c>
      <c r="F70" s="8">
        <v>3.0</v>
      </c>
      <c r="G70" s="8">
        <v>3.0</v>
      </c>
      <c r="H70" s="8">
        <v>3.0</v>
      </c>
      <c r="I70" s="8">
        <v>3.0</v>
      </c>
      <c r="J70" s="8" t="s">
        <v>25</v>
      </c>
      <c r="K70" s="18" t="s">
        <v>26</v>
      </c>
    </row>
    <row r="71">
      <c r="A71" s="11">
        <v>45853.42343461806</v>
      </c>
      <c r="B71" s="12">
        <v>50.0</v>
      </c>
      <c r="C71" s="13" t="s">
        <v>11</v>
      </c>
      <c r="D71" s="12" t="s">
        <v>20</v>
      </c>
      <c r="E71" s="12">
        <v>3.0</v>
      </c>
      <c r="F71" s="12">
        <v>4.0</v>
      </c>
      <c r="G71" s="12">
        <v>4.0</v>
      </c>
      <c r="H71" s="12">
        <v>4.0</v>
      </c>
      <c r="I71" s="12">
        <v>5.0</v>
      </c>
      <c r="J71" s="12" t="s">
        <v>27</v>
      </c>
      <c r="K71" s="10" t="s">
        <v>28</v>
      </c>
    </row>
    <row r="72">
      <c r="A72" s="7">
        <v>45832.04432818287</v>
      </c>
      <c r="B72" s="8">
        <v>51.0</v>
      </c>
      <c r="C72" s="9" t="s">
        <v>18</v>
      </c>
      <c r="D72" s="8"/>
      <c r="E72" s="8">
        <v>5.0</v>
      </c>
      <c r="F72" s="8">
        <v>5.0</v>
      </c>
      <c r="G72" s="8">
        <v>5.0</v>
      </c>
      <c r="H72" s="8">
        <v>5.0</v>
      </c>
      <c r="I72" s="8">
        <v>1.0</v>
      </c>
      <c r="J72" s="8" t="s">
        <v>13</v>
      </c>
      <c r="K72" s="10" t="s">
        <v>14</v>
      </c>
    </row>
    <row r="73">
      <c r="A73" s="11">
        <v>45835.57390020833</v>
      </c>
      <c r="B73" s="12">
        <v>52.0</v>
      </c>
      <c r="C73" s="13" t="s">
        <v>11</v>
      </c>
      <c r="D73" s="12" t="s">
        <v>20</v>
      </c>
      <c r="E73" s="12">
        <v>5.0</v>
      </c>
      <c r="F73" s="12">
        <v>4.0</v>
      </c>
      <c r="G73" s="12">
        <v>4.0</v>
      </c>
      <c r="H73" s="12">
        <v>5.0</v>
      </c>
      <c r="I73" s="12">
        <v>5.0</v>
      </c>
      <c r="J73" s="12" t="s">
        <v>21</v>
      </c>
      <c r="K73" s="14" t="s">
        <v>22</v>
      </c>
    </row>
    <row r="74">
      <c r="A74" s="7">
        <v>45853.42395877315</v>
      </c>
      <c r="B74" s="8">
        <v>53.0</v>
      </c>
      <c r="C74" s="9" t="s">
        <v>18</v>
      </c>
      <c r="D74" s="8"/>
      <c r="E74" s="8">
        <v>4.0</v>
      </c>
      <c r="F74" s="8">
        <v>4.0</v>
      </c>
      <c r="G74" s="8">
        <v>3.0</v>
      </c>
      <c r="H74" s="8">
        <v>3.0</v>
      </c>
      <c r="I74" s="8">
        <v>4.0</v>
      </c>
      <c r="J74" s="8" t="s">
        <v>27</v>
      </c>
      <c r="K74" s="10" t="s">
        <v>28</v>
      </c>
    </row>
    <row r="75">
      <c r="A75" s="11">
        <v>45832.76812388889</v>
      </c>
      <c r="B75" s="12">
        <v>54.0</v>
      </c>
      <c r="C75" s="13" t="s">
        <v>18</v>
      </c>
      <c r="D75" s="12"/>
      <c r="E75" s="12">
        <v>3.0</v>
      </c>
      <c r="F75" s="12">
        <v>3.0</v>
      </c>
      <c r="G75" s="12">
        <v>3.0</v>
      </c>
      <c r="H75" s="12">
        <v>3.0</v>
      </c>
      <c r="I75" s="12">
        <v>2.0</v>
      </c>
      <c r="J75" s="12" t="s">
        <v>16</v>
      </c>
      <c r="K75" s="14" t="s">
        <v>17</v>
      </c>
    </row>
    <row r="76">
      <c r="A76" s="7">
        <v>45835.57691054398</v>
      </c>
      <c r="B76" s="8">
        <v>54.0</v>
      </c>
      <c r="C76" s="9" t="s">
        <v>18</v>
      </c>
      <c r="D76" s="8"/>
      <c r="E76" s="8">
        <v>5.0</v>
      </c>
      <c r="F76" s="8">
        <v>5.0</v>
      </c>
      <c r="G76" s="8">
        <v>5.0</v>
      </c>
      <c r="H76" s="8">
        <v>4.0</v>
      </c>
      <c r="I76" s="8">
        <v>5.0</v>
      </c>
      <c r="J76" s="8" t="s">
        <v>21</v>
      </c>
      <c r="K76" s="18" t="s">
        <v>22</v>
      </c>
    </row>
    <row r="77">
      <c r="A77" s="11">
        <v>45837.29310377315</v>
      </c>
      <c r="B77" s="12">
        <v>54.0</v>
      </c>
      <c r="C77" s="13" t="s">
        <v>18</v>
      </c>
      <c r="D77" s="12"/>
      <c r="E77" s="12">
        <v>4.0</v>
      </c>
      <c r="F77" s="12">
        <v>2.0</v>
      </c>
      <c r="G77" s="12">
        <v>4.0</v>
      </c>
      <c r="H77" s="12">
        <v>5.0</v>
      </c>
      <c r="I77" s="12">
        <v>3.0</v>
      </c>
      <c r="J77" s="12" t="s">
        <v>23</v>
      </c>
      <c r="K77" s="14" t="s">
        <v>24</v>
      </c>
    </row>
    <row r="78">
      <c r="A78" s="7">
        <v>45837.30055959491</v>
      </c>
      <c r="B78" s="8">
        <v>54.0</v>
      </c>
      <c r="C78" s="9" t="s">
        <v>18</v>
      </c>
      <c r="D78" s="8"/>
      <c r="E78" s="8">
        <v>3.0</v>
      </c>
      <c r="F78" s="8">
        <v>4.0</v>
      </c>
      <c r="G78" s="8">
        <v>3.0</v>
      </c>
      <c r="H78" s="8">
        <v>3.0</v>
      </c>
      <c r="I78" s="8">
        <v>3.0</v>
      </c>
      <c r="J78" s="8" t="s">
        <v>25</v>
      </c>
      <c r="K78" s="18" t="s">
        <v>26</v>
      </c>
    </row>
    <row r="79">
      <c r="A79" s="11">
        <v>45837.30078392361</v>
      </c>
      <c r="B79" s="12">
        <v>55.0</v>
      </c>
      <c r="C79" s="20" t="s">
        <v>11</v>
      </c>
      <c r="D79" s="12" t="s">
        <v>15</v>
      </c>
      <c r="E79" s="12">
        <v>4.0</v>
      </c>
      <c r="F79" s="12">
        <v>2.0</v>
      </c>
      <c r="G79" s="12">
        <v>2.0</v>
      </c>
      <c r="H79" s="12">
        <v>2.0</v>
      </c>
      <c r="I79" s="12">
        <v>1.0</v>
      </c>
      <c r="J79" s="12" t="s">
        <v>25</v>
      </c>
      <c r="K79" s="14" t="s">
        <v>26</v>
      </c>
    </row>
    <row r="80">
      <c r="A80" s="7">
        <v>45832.045863946754</v>
      </c>
      <c r="B80" s="8">
        <v>56.0</v>
      </c>
      <c r="C80" s="9" t="s">
        <v>18</v>
      </c>
      <c r="D80" s="8"/>
      <c r="E80" s="8">
        <v>4.0</v>
      </c>
      <c r="F80" s="8">
        <v>4.0</v>
      </c>
      <c r="G80" s="8">
        <v>5.0</v>
      </c>
      <c r="H80" s="8">
        <v>4.0</v>
      </c>
      <c r="I80" s="8">
        <v>4.0</v>
      </c>
      <c r="J80" s="8" t="s">
        <v>13</v>
      </c>
      <c r="K80" s="10" t="s">
        <v>14</v>
      </c>
    </row>
    <row r="81">
      <c r="A81" s="11">
        <v>45853.42468215278</v>
      </c>
      <c r="B81" s="12">
        <v>56.0</v>
      </c>
      <c r="C81" s="13" t="s">
        <v>18</v>
      </c>
      <c r="D81" s="12"/>
      <c r="E81" s="12">
        <v>4.0</v>
      </c>
      <c r="F81" s="12">
        <v>4.0</v>
      </c>
      <c r="G81" s="12">
        <v>5.0</v>
      </c>
      <c r="H81" s="12">
        <v>4.0</v>
      </c>
      <c r="I81" s="12">
        <v>4.0</v>
      </c>
      <c r="J81" s="12" t="s">
        <v>27</v>
      </c>
      <c r="K81" s="10" t="s">
        <v>28</v>
      </c>
    </row>
    <row r="82">
      <c r="A82" s="7">
        <v>45837.293351643515</v>
      </c>
      <c r="B82" s="8">
        <v>57.0</v>
      </c>
      <c r="C82" s="9" t="s">
        <v>11</v>
      </c>
      <c r="D82" s="8" t="s">
        <v>15</v>
      </c>
      <c r="E82" s="8">
        <v>4.0</v>
      </c>
      <c r="F82" s="8">
        <v>3.0</v>
      </c>
      <c r="G82" s="8">
        <v>2.0</v>
      </c>
      <c r="H82" s="8">
        <v>2.0</v>
      </c>
      <c r="I82" s="8">
        <v>3.0</v>
      </c>
      <c r="J82" s="8" t="s">
        <v>23</v>
      </c>
      <c r="K82" s="18" t="s">
        <v>24</v>
      </c>
    </row>
    <row r="83">
      <c r="A83" s="11">
        <v>45832.76863583333</v>
      </c>
      <c r="B83" s="12">
        <v>60.0</v>
      </c>
      <c r="C83" s="13" t="s">
        <v>18</v>
      </c>
      <c r="D83" s="12"/>
      <c r="E83" s="12">
        <v>4.0</v>
      </c>
      <c r="F83" s="12">
        <v>2.0</v>
      </c>
      <c r="G83" s="12">
        <v>3.0</v>
      </c>
      <c r="H83" s="12">
        <v>3.0</v>
      </c>
      <c r="I83" s="12">
        <v>4.0</v>
      </c>
      <c r="J83" s="12" t="s">
        <v>33</v>
      </c>
      <c r="K83" s="14" t="s">
        <v>17</v>
      </c>
    </row>
    <row r="84">
      <c r="A84" s="7">
        <v>45853.4251196875</v>
      </c>
      <c r="B84" s="8">
        <v>60.0</v>
      </c>
      <c r="C84" s="9" t="s">
        <v>18</v>
      </c>
      <c r="D84" s="8"/>
      <c r="E84" s="8">
        <v>3.0</v>
      </c>
      <c r="F84" s="8">
        <v>4.0</v>
      </c>
      <c r="G84" s="8">
        <v>3.0</v>
      </c>
      <c r="H84" s="8">
        <v>4.0</v>
      </c>
      <c r="I84" s="8">
        <v>4.0</v>
      </c>
      <c r="J84" s="8" t="s">
        <v>27</v>
      </c>
      <c r="K84" s="10" t="s">
        <v>28</v>
      </c>
    </row>
    <row r="85">
      <c r="A85" s="11">
        <v>45835.577238831014</v>
      </c>
      <c r="B85" s="12">
        <v>61.0</v>
      </c>
      <c r="C85" s="13" t="s">
        <v>18</v>
      </c>
      <c r="D85" s="12"/>
      <c r="E85" s="12">
        <v>3.0</v>
      </c>
      <c r="F85" s="12">
        <v>3.0</v>
      </c>
      <c r="G85" s="12">
        <v>4.0</v>
      </c>
      <c r="H85" s="12">
        <v>4.0</v>
      </c>
      <c r="I85" s="12">
        <v>2.0</v>
      </c>
      <c r="J85" s="12" t="s">
        <v>21</v>
      </c>
      <c r="K85" s="14" t="s">
        <v>22</v>
      </c>
    </row>
    <row r="86">
      <c r="A86" s="7">
        <v>45837.29381158565</v>
      </c>
      <c r="B86" s="8">
        <v>61.0</v>
      </c>
      <c r="C86" s="9" t="s">
        <v>18</v>
      </c>
      <c r="D86" s="8"/>
      <c r="E86" s="8">
        <v>2.0</v>
      </c>
      <c r="F86" s="8">
        <v>4.0</v>
      </c>
      <c r="G86" s="8">
        <v>4.0</v>
      </c>
      <c r="H86" s="8">
        <v>2.0</v>
      </c>
      <c r="I86" s="8">
        <v>2.0</v>
      </c>
      <c r="J86" s="8" t="s">
        <v>23</v>
      </c>
      <c r="K86" s="18" t="s">
        <v>24</v>
      </c>
    </row>
    <row r="87">
      <c r="A87" s="11">
        <v>45832.0465134838</v>
      </c>
      <c r="B87" s="12">
        <v>62.0</v>
      </c>
      <c r="C87" s="13" t="s">
        <v>18</v>
      </c>
      <c r="D87" s="12"/>
      <c r="E87" s="12">
        <v>2.0</v>
      </c>
      <c r="F87" s="12">
        <v>2.0</v>
      </c>
      <c r="G87" s="12">
        <v>3.0</v>
      </c>
      <c r="H87" s="12">
        <v>2.0</v>
      </c>
      <c r="I87" s="12">
        <v>2.0</v>
      </c>
      <c r="J87" s="12" t="s">
        <v>13</v>
      </c>
      <c r="K87" s="10" t="s">
        <v>14</v>
      </c>
    </row>
    <row r="88">
      <c r="A88" s="7">
        <v>45832.76923553241</v>
      </c>
      <c r="B88" s="8">
        <v>62.0</v>
      </c>
      <c r="C88" s="9" t="s">
        <v>18</v>
      </c>
      <c r="D88" s="8"/>
      <c r="E88" s="8">
        <v>3.0</v>
      </c>
      <c r="F88" s="8">
        <v>2.0</v>
      </c>
      <c r="G88" s="8">
        <v>4.0</v>
      </c>
      <c r="H88" s="8">
        <v>3.0</v>
      </c>
      <c r="I88" s="8">
        <v>2.0</v>
      </c>
      <c r="J88" s="8" t="s">
        <v>16</v>
      </c>
      <c r="K88" s="18" t="s">
        <v>17</v>
      </c>
    </row>
    <row r="89">
      <c r="A89" s="11">
        <v>45853.42551084491</v>
      </c>
      <c r="B89" s="12">
        <v>63.0</v>
      </c>
      <c r="C89" s="13" t="s">
        <v>11</v>
      </c>
      <c r="D89" s="12" t="s">
        <v>12</v>
      </c>
      <c r="E89" s="12">
        <v>4.0</v>
      </c>
      <c r="F89" s="12">
        <v>4.0</v>
      </c>
      <c r="G89" s="12">
        <v>3.0</v>
      </c>
      <c r="H89" s="12">
        <v>4.0</v>
      </c>
      <c r="I89" s="12">
        <v>4.0</v>
      </c>
      <c r="J89" s="12" t="s">
        <v>27</v>
      </c>
      <c r="K89" s="10" t="s">
        <v>28</v>
      </c>
    </row>
    <row r="90">
      <c r="A90" s="7">
        <v>45832.047441041665</v>
      </c>
      <c r="B90" s="8">
        <v>64.0</v>
      </c>
      <c r="C90" s="9" t="s">
        <v>11</v>
      </c>
      <c r="D90" s="8" t="s">
        <v>20</v>
      </c>
      <c r="E90" s="8">
        <v>3.0</v>
      </c>
      <c r="F90" s="8">
        <v>3.0</v>
      </c>
      <c r="G90" s="8">
        <v>3.0</v>
      </c>
      <c r="H90" s="8">
        <v>4.0</v>
      </c>
      <c r="I90" s="8">
        <v>2.0</v>
      </c>
      <c r="J90" s="8" t="s">
        <v>13</v>
      </c>
      <c r="K90" s="10" t="s">
        <v>14</v>
      </c>
    </row>
    <row r="91">
      <c r="A91" s="11">
        <v>45832.769624189816</v>
      </c>
      <c r="B91" s="12">
        <v>64.0</v>
      </c>
      <c r="C91" s="13" t="s">
        <v>11</v>
      </c>
      <c r="D91" s="12" t="s">
        <v>20</v>
      </c>
      <c r="E91" s="12">
        <v>4.0</v>
      </c>
      <c r="F91" s="12">
        <v>2.0</v>
      </c>
      <c r="G91" s="12">
        <v>3.0</v>
      </c>
      <c r="H91" s="12">
        <v>2.0</v>
      </c>
      <c r="I91" s="12">
        <v>4.0</v>
      </c>
      <c r="J91" s="12" t="s">
        <v>16</v>
      </c>
      <c r="K91" s="14" t="s">
        <v>17</v>
      </c>
    </row>
    <row r="92">
      <c r="A92" s="7">
        <v>45837.29400329861</v>
      </c>
      <c r="B92" s="8">
        <v>64.0</v>
      </c>
      <c r="C92" s="9" t="s">
        <v>11</v>
      </c>
      <c r="D92" s="8" t="s">
        <v>20</v>
      </c>
      <c r="E92" s="8">
        <v>2.0</v>
      </c>
      <c r="F92" s="8">
        <v>3.0</v>
      </c>
      <c r="G92" s="8">
        <v>2.0</v>
      </c>
      <c r="H92" s="8">
        <v>3.0</v>
      </c>
      <c r="I92" s="8">
        <v>5.0</v>
      </c>
      <c r="J92" s="8" t="s">
        <v>23</v>
      </c>
      <c r="K92" s="18" t="s">
        <v>24</v>
      </c>
    </row>
    <row r="93">
      <c r="A93" s="11">
        <v>45832.770014027774</v>
      </c>
      <c r="B93" s="12">
        <v>65.0</v>
      </c>
      <c r="C93" s="13" t="s">
        <v>18</v>
      </c>
      <c r="D93" s="12"/>
      <c r="E93" s="12">
        <v>4.0</v>
      </c>
      <c r="F93" s="12">
        <v>3.0</v>
      </c>
      <c r="G93" s="12">
        <v>4.0</v>
      </c>
      <c r="H93" s="12">
        <v>4.0</v>
      </c>
      <c r="I93" s="12">
        <v>5.0</v>
      </c>
      <c r="J93" s="12" t="s">
        <v>16</v>
      </c>
      <c r="K93" s="14" t="s">
        <v>17</v>
      </c>
    </row>
    <row r="94">
      <c r="A94" s="7">
        <v>45837.30095596064</v>
      </c>
      <c r="B94" s="8">
        <v>65.0</v>
      </c>
      <c r="C94" s="9" t="s">
        <v>18</v>
      </c>
      <c r="D94" s="8"/>
      <c r="E94" s="8">
        <v>4.0</v>
      </c>
      <c r="F94" s="8">
        <v>1.0</v>
      </c>
      <c r="G94" s="8">
        <v>2.0</v>
      </c>
      <c r="H94" s="8">
        <v>3.0</v>
      </c>
      <c r="I94" s="8">
        <v>3.0</v>
      </c>
      <c r="J94" s="8" t="s">
        <v>25</v>
      </c>
      <c r="K94" s="18" t="s">
        <v>26</v>
      </c>
    </row>
    <row r="95">
      <c r="A95" s="11">
        <v>45837.3011750463</v>
      </c>
      <c r="B95" s="12">
        <v>66.0</v>
      </c>
      <c r="C95" s="13" t="s">
        <v>18</v>
      </c>
      <c r="D95" s="12"/>
      <c r="E95" s="12">
        <v>3.0</v>
      </c>
      <c r="F95" s="12">
        <v>4.0</v>
      </c>
      <c r="G95" s="12">
        <v>5.0</v>
      </c>
      <c r="H95" s="12">
        <v>2.0</v>
      </c>
      <c r="I95" s="12">
        <v>2.0</v>
      </c>
      <c r="J95" s="12" t="s">
        <v>25</v>
      </c>
      <c r="K95" s="14" t="s">
        <v>26</v>
      </c>
    </row>
    <row r="96">
      <c r="A96" s="7">
        <v>45832.77222747685</v>
      </c>
      <c r="B96" s="8">
        <v>67.0</v>
      </c>
      <c r="C96" s="9" t="s">
        <v>18</v>
      </c>
      <c r="D96" s="8"/>
      <c r="E96" s="8">
        <v>2.0</v>
      </c>
      <c r="F96" s="8">
        <v>2.0</v>
      </c>
      <c r="G96" s="8">
        <v>3.0</v>
      </c>
      <c r="H96" s="8">
        <v>3.0</v>
      </c>
      <c r="I96" s="8">
        <v>2.0</v>
      </c>
      <c r="J96" s="8" t="s">
        <v>16</v>
      </c>
      <c r="K96" s="18" t="s">
        <v>17</v>
      </c>
    </row>
    <row r="97">
      <c r="A97" s="11">
        <v>45835.57758402778</v>
      </c>
      <c r="B97" s="12">
        <v>68.0</v>
      </c>
      <c r="C97" s="13" t="s">
        <v>18</v>
      </c>
      <c r="D97" s="12"/>
      <c r="E97" s="12">
        <v>4.0</v>
      </c>
      <c r="F97" s="12">
        <v>4.0</v>
      </c>
      <c r="G97" s="12">
        <v>4.0</v>
      </c>
      <c r="H97" s="12">
        <v>4.0</v>
      </c>
      <c r="I97" s="12">
        <v>3.0</v>
      </c>
      <c r="J97" s="12" t="s">
        <v>21</v>
      </c>
      <c r="K97" s="14" t="s">
        <v>22</v>
      </c>
    </row>
    <row r="98">
      <c r="A98" s="7">
        <v>45837.29425869213</v>
      </c>
      <c r="B98" s="8">
        <v>68.0</v>
      </c>
      <c r="C98" s="9" t="s">
        <v>18</v>
      </c>
      <c r="D98" s="8"/>
      <c r="E98" s="8">
        <v>3.0</v>
      </c>
      <c r="F98" s="8">
        <v>4.0</v>
      </c>
      <c r="G98" s="8">
        <v>3.0</v>
      </c>
      <c r="H98" s="8">
        <v>2.0</v>
      </c>
      <c r="I98" s="8">
        <v>1.0</v>
      </c>
      <c r="J98" s="8" t="s">
        <v>23</v>
      </c>
      <c r="K98" s="18" t="s">
        <v>24</v>
      </c>
    </row>
    <row r="99">
      <c r="A99" s="11">
        <v>45837.30139446759</v>
      </c>
      <c r="B99" s="12">
        <v>69.0</v>
      </c>
      <c r="C99" s="13" t="s">
        <v>18</v>
      </c>
      <c r="D99" s="12"/>
      <c r="E99" s="12">
        <v>3.0</v>
      </c>
      <c r="F99" s="12">
        <v>2.0</v>
      </c>
      <c r="G99" s="12">
        <v>1.0</v>
      </c>
      <c r="H99" s="12">
        <v>3.0</v>
      </c>
      <c r="I99" s="12">
        <v>3.0</v>
      </c>
      <c r="J99" s="12" t="s">
        <v>25</v>
      </c>
      <c r="K99" s="14" t="s">
        <v>26</v>
      </c>
    </row>
    <row r="100">
      <c r="A100" s="7">
        <v>45853.426413657406</v>
      </c>
      <c r="B100" s="8">
        <v>69.0</v>
      </c>
      <c r="C100" s="9" t="s">
        <v>18</v>
      </c>
      <c r="D100" s="8"/>
      <c r="E100" s="8">
        <v>4.0</v>
      </c>
      <c r="F100" s="8">
        <v>5.0</v>
      </c>
      <c r="G100" s="8">
        <v>4.0</v>
      </c>
      <c r="H100" s="8">
        <v>4.0</v>
      </c>
      <c r="I100" s="8">
        <v>4.0</v>
      </c>
      <c r="J100" s="8" t="s">
        <v>27</v>
      </c>
      <c r="K100" s="10" t="s">
        <v>28</v>
      </c>
    </row>
    <row r="101">
      <c r="A101" s="11">
        <v>45835.57798210648</v>
      </c>
      <c r="B101" s="12">
        <v>70.0</v>
      </c>
      <c r="C101" s="13" t="s">
        <v>11</v>
      </c>
      <c r="D101" s="12" t="s">
        <v>20</v>
      </c>
      <c r="E101" s="12">
        <v>5.0</v>
      </c>
      <c r="F101" s="12">
        <v>5.0</v>
      </c>
      <c r="G101" s="12">
        <v>5.0</v>
      </c>
      <c r="H101" s="12">
        <v>5.0</v>
      </c>
      <c r="I101" s="12">
        <v>4.0</v>
      </c>
      <c r="J101" s="12" t="s">
        <v>21</v>
      </c>
      <c r="K101" s="14" t="s">
        <v>22</v>
      </c>
    </row>
    <row r="102">
      <c r="A102" s="7">
        <v>45837.29448296296</v>
      </c>
      <c r="B102" s="8">
        <v>70.0</v>
      </c>
      <c r="C102" s="9" t="s">
        <v>11</v>
      </c>
      <c r="D102" s="8" t="s">
        <v>20</v>
      </c>
      <c r="E102" s="8">
        <v>4.0</v>
      </c>
      <c r="F102" s="8">
        <v>4.0</v>
      </c>
      <c r="G102" s="8">
        <v>3.0</v>
      </c>
      <c r="H102" s="8">
        <v>4.0</v>
      </c>
      <c r="I102" s="8">
        <v>2.0</v>
      </c>
      <c r="J102" s="8" t="s">
        <v>23</v>
      </c>
      <c r="K102" s="18" t="s">
        <v>24</v>
      </c>
    </row>
    <row r="103">
      <c r="A103" s="11">
        <v>45837.30171347222</v>
      </c>
      <c r="B103" s="12">
        <v>70.0</v>
      </c>
      <c r="C103" s="13" t="s">
        <v>11</v>
      </c>
      <c r="D103" s="12" t="s">
        <v>20</v>
      </c>
      <c r="E103" s="12">
        <v>3.0</v>
      </c>
      <c r="F103" s="12">
        <v>2.0</v>
      </c>
      <c r="G103" s="12">
        <v>4.0</v>
      </c>
      <c r="H103" s="12">
        <v>3.0</v>
      </c>
      <c r="I103" s="12">
        <v>3.0</v>
      </c>
      <c r="J103" s="12" t="s">
        <v>34</v>
      </c>
      <c r="K103" s="14" t="s">
        <v>26</v>
      </c>
    </row>
    <row r="104">
      <c r="A104" s="7">
        <v>45832.772626226855</v>
      </c>
      <c r="B104" s="8">
        <v>72.0</v>
      </c>
      <c r="C104" s="9" t="s">
        <v>18</v>
      </c>
      <c r="D104" s="8"/>
      <c r="E104" s="8">
        <v>4.0</v>
      </c>
      <c r="F104" s="8">
        <v>3.0</v>
      </c>
      <c r="G104" s="8">
        <v>4.0</v>
      </c>
      <c r="H104" s="8">
        <v>4.0</v>
      </c>
      <c r="I104" s="8">
        <v>4.0</v>
      </c>
      <c r="J104" s="8" t="s">
        <v>35</v>
      </c>
      <c r="K104" s="18" t="s">
        <v>17</v>
      </c>
    </row>
    <row r="105">
      <c r="A105" s="11">
        <v>45835.57837974537</v>
      </c>
      <c r="B105" s="12">
        <v>72.0</v>
      </c>
      <c r="C105" s="13" t="s">
        <v>18</v>
      </c>
      <c r="D105" s="12"/>
      <c r="E105" s="12">
        <v>4.0</v>
      </c>
      <c r="F105" s="12">
        <v>4.0</v>
      </c>
      <c r="G105" s="12">
        <v>4.0</v>
      </c>
      <c r="H105" s="12">
        <v>4.0</v>
      </c>
      <c r="I105" s="12">
        <v>3.0</v>
      </c>
      <c r="J105" s="12" t="s">
        <v>21</v>
      </c>
      <c r="K105" s="14" t="s">
        <v>22</v>
      </c>
    </row>
    <row r="106">
      <c r="A106" s="7">
        <v>45853.42741336806</v>
      </c>
      <c r="B106" s="8">
        <v>73.0</v>
      </c>
      <c r="C106" s="9" t="s">
        <v>11</v>
      </c>
      <c r="D106" s="8" t="s">
        <v>15</v>
      </c>
      <c r="E106" s="8">
        <v>4.0</v>
      </c>
      <c r="F106" s="8">
        <v>4.0</v>
      </c>
      <c r="G106" s="8">
        <v>5.0</v>
      </c>
      <c r="H106" s="8">
        <v>4.0</v>
      </c>
      <c r="I106" s="8">
        <v>4.0</v>
      </c>
      <c r="J106" s="8" t="s">
        <v>27</v>
      </c>
      <c r="K106" s="10" t="s">
        <v>28</v>
      </c>
    </row>
    <row r="107">
      <c r="A107" s="11">
        <v>45835.57894824074</v>
      </c>
      <c r="B107" s="12">
        <v>74.0</v>
      </c>
      <c r="C107" s="13" t="s">
        <v>18</v>
      </c>
      <c r="D107" s="12"/>
      <c r="E107" s="12">
        <v>5.0</v>
      </c>
      <c r="F107" s="12">
        <v>5.0</v>
      </c>
      <c r="G107" s="12">
        <v>5.0</v>
      </c>
      <c r="H107" s="12">
        <v>4.0</v>
      </c>
      <c r="I107" s="12">
        <v>3.0</v>
      </c>
      <c r="J107" s="12" t="s">
        <v>21</v>
      </c>
      <c r="K107" s="14" t="s">
        <v>22</v>
      </c>
    </row>
    <row r="108">
      <c r="A108" s="7">
        <v>45832.04808570602</v>
      </c>
      <c r="B108" s="8">
        <v>75.0</v>
      </c>
      <c r="C108" s="9" t="s">
        <v>11</v>
      </c>
      <c r="D108" s="8" t="s">
        <v>12</v>
      </c>
      <c r="E108" s="8">
        <v>3.0</v>
      </c>
      <c r="F108" s="8">
        <v>4.0</v>
      </c>
      <c r="G108" s="8">
        <v>4.0</v>
      </c>
      <c r="H108" s="8">
        <v>3.0</v>
      </c>
      <c r="I108" s="8">
        <v>3.0</v>
      </c>
      <c r="J108" s="8" t="s">
        <v>13</v>
      </c>
      <c r="K108" s="10" t="s">
        <v>14</v>
      </c>
    </row>
    <row r="109">
      <c r="A109" s="11">
        <v>45837.29465659722</v>
      </c>
      <c r="B109" s="12">
        <v>75.0</v>
      </c>
      <c r="C109" s="13" t="s">
        <v>11</v>
      </c>
      <c r="D109" s="12" t="s">
        <v>12</v>
      </c>
      <c r="E109" s="12">
        <v>5.0</v>
      </c>
      <c r="F109" s="12">
        <v>4.0</v>
      </c>
      <c r="G109" s="12">
        <v>3.0</v>
      </c>
      <c r="H109" s="12">
        <v>2.0</v>
      </c>
      <c r="I109" s="12">
        <v>3.0</v>
      </c>
      <c r="J109" s="12" t="s">
        <v>23</v>
      </c>
      <c r="K109" s="14" t="s">
        <v>24</v>
      </c>
    </row>
    <row r="110">
      <c r="A110" s="7">
        <v>45832.04889291667</v>
      </c>
      <c r="B110" s="8">
        <v>76.0</v>
      </c>
      <c r="C110" s="9" t="s">
        <v>11</v>
      </c>
      <c r="D110" s="8" t="s">
        <v>20</v>
      </c>
      <c r="E110" s="8">
        <v>4.0</v>
      </c>
      <c r="F110" s="8">
        <v>4.0</v>
      </c>
      <c r="G110" s="8">
        <v>5.0</v>
      </c>
      <c r="H110" s="8">
        <v>5.0</v>
      </c>
      <c r="I110" s="8">
        <v>5.0</v>
      </c>
      <c r="J110" s="8" t="s">
        <v>13</v>
      </c>
      <c r="K110" s="10" t="s">
        <v>14</v>
      </c>
    </row>
    <row r="111">
      <c r="A111" s="11">
        <v>45835.57917699074</v>
      </c>
      <c r="B111" s="12">
        <v>76.0</v>
      </c>
      <c r="C111" s="13" t="s">
        <v>11</v>
      </c>
      <c r="D111" s="12" t="s">
        <v>20</v>
      </c>
      <c r="E111" s="12">
        <v>4.0</v>
      </c>
      <c r="F111" s="12">
        <v>4.0</v>
      </c>
      <c r="G111" s="12">
        <v>4.0</v>
      </c>
      <c r="H111" s="12">
        <v>4.0</v>
      </c>
      <c r="I111" s="12">
        <v>3.0</v>
      </c>
      <c r="J111" s="12" t="s">
        <v>21</v>
      </c>
      <c r="K111" s="14" t="s">
        <v>22</v>
      </c>
    </row>
    <row r="112">
      <c r="A112" s="7">
        <v>45853.42868237269</v>
      </c>
      <c r="B112" s="8">
        <v>77.0</v>
      </c>
      <c r="C112" s="9" t="s">
        <v>18</v>
      </c>
      <c r="D112" s="8"/>
      <c r="E112" s="8">
        <v>4.0</v>
      </c>
      <c r="F112" s="8">
        <v>4.0</v>
      </c>
      <c r="G112" s="8">
        <v>3.0</v>
      </c>
      <c r="H112" s="8">
        <v>4.0</v>
      </c>
      <c r="I112" s="8">
        <v>4.0</v>
      </c>
      <c r="J112" s="8" t="s">
        <v>27</v>
      </c>
      <c r="K112" s="10" t="s">
        <v>28</v>
      </c>
    </row>
    <row r="113">
      <c r="A113" s="11">
        <v>45832.050111018514</v>
      </c>
      <c r="B113" s="12">
        <v>79.0</v>
      </c>
      <c r="C113" s="13" t="s">
        <v>11</v>
      </c>
      <c r="D113" s="12" t="s">
        <v>15</v>
      </c>
      <c r="E113" s="12">
        <v>5.0</v>
      </c>
      <c r="F113" s="12">
        <v>4.0</v>
      </c>
      <c r="G113" s="12">
        <v>4.0</v>
      </c>
      <c r="H113" s="12">
        <v>4.0</v>
      </c>
      <c r="I113" s="12">
        <v>3.0</v>
      </c>
      <c r="J113" s="12" t="s">
        <v>13</v>
      </c>
      <c r="K113" s="10" t="s">
        <v>14</v>
      </c>
    </row>
    <row r="114">
      <c r="A114" s="7">
        <v>45835.57966653936</v>
      </c>
      <c r="B114" s="8">
        <v>79.0</v>
      </c>
      <c r="C114" s="9" t="s">
        <v>11</v>
      </c>
      <c r="D114" s="8" t="s">
        <v>15</v>
      </c>
      <c r="E114" s="8">
        <v>4.0</v>
      </c>
      <c r="F114" s="8">
        <v>4.0</v>
      </c>
      <c r="G114" s="8">
        <v>3.0</v>
      </c>
      <c r="H114" s="8">
        <v>4.0</v>
      </c>
      <c r="I114" s="8">
        <v>4.0</v>
      </c>
      <c r="J114" s="8" t="s">
        <v>21</v>
      </c>
      <c r="K114" s="18" t="s">
        <v>22</v>
      </c>
    </row>
    <row r="115">
      <c r="A115" s="11">
        <v>45837.29487319445</v>
      </c>
      <c r="B115" s="12">
        <v>79.0</v>
      </c>
      <c r="C115" s="13" t="s">
        <v>11</v>
      </c>
      <c r="D115" s="12" t="s">
        <v>15</v>
      </c>
      <c r="E115" s="12">
        <v>2.0</v>
      </c>
      <c r="F115" s="12">
        <v>3.0</v>
      </c>
      <c r="G115" s="12">
        <v>4.0</v>
      </c>
      <c r="H115" s="12">
        <v>3.0</v>
      </c>
      <c r="I115" s="12">
        <v>4.0</v>
      </c>
      <c r="J115" s="12" t="s">
        <v>23</v>
      </c>
      <c r="K115" s="14" t="s">
        <v>24</v>
      </c>
    </row>
    <row r="116">
      <c r="A116" s="7">
        <v>45853.43022126157</v>
      </c>
      <c r="B116" s="8">
        <v>81.0</v>
      </c>
      <c r="C116" s="9" t="s">
        <v>18</v>
      </c>
      <c r="D116" s="8"/>
      <c r="E116" s="8">
        <v>4.0</v>
      </c>
      <c r="F116" s="8">
        <v>4.0</v>
      </c>
      <c r="G116" s="8">
        <v>3.0</v>
      </c>
      <c r="H116" s="8">
        <v>4.0</v>
      </c>
      <c r="I116" s="8">
        <v>4.0</v>
      </c>
      <c r="J116" s="8" t="s">
        <v>27</v>
      </c>
      <c r="K116" s="10" t="s">
        <v>28</v>
      </c>
    </row>
    <row r="117">
      <c r="A117" s="11">
        <v>45832.77300898149</v>
      </c>
      <c r="B117" s="12">
        <v>82.0</v>
      </c>
      <c r="C117" s="13" t="s">
        <v>11</v>
      </c>
      <c r="D117" s="12" t="s">
        <v>12</v>
      </c>
      <c r="E117" s="12">
        <v>3.0</v>
      </c>
      <c r="F117" s="12">
        <v>4.0</v>
      </c>
      <c r="G117" s="12">
        <v>2.0</v>
      </c>
      <c r="H117" s="12">
        <v>2.0</v>
      </c>
      <c r="I117" s="12">
        <v>1.0</v>
      </c>
      <c r="J117" s="12" t="s">
        <v>35</v>
      </c>
      <c r="K117" s="14" t="s">
        <v>17</v>
      </c>
    </row>
    <row r="118">
      <c r="A118" s="7">
        <v>45837.29517020834</v>
      </c>
      <c r="B118" s="8">
        <v>82.0</v>
      </c>
      <c r="C118" s="9" t="s">
        <v>11</v>
      </c>
      <c r="D118" s="8" t="s">
        <v>12</v>
      </c>
      <c r="E118" s="8">
        <v>3.0</v>
      </c>
      <c r="F118" s="8">
        <v>4.0</v>
      </c>
      <c r="G118" s="8">
        <v>3.0</v>
      </c>
      <c r="H118" s="8">
        <v>4.0</v>
      </c>
      <c r="I118" s="8">
        <v>3.0</v>
      </c>
      <c r="J118" s="8" t="s">
        <v>23</v>
      </c>
      <c r="K118" s="18" t="s">
        <v>24</v>
      </c>
    </row>
    <row r="119">
      <c r="A119" s="11">
        <v>45835.57994136574</v>
      </c>
      <c r="B119" s="12">
        <v>84.0</v>
      </c>
      <c r="C119" s="13" t="s">
        <v>11</v>
      </c>
      <c r="D119" s="12" t="s">
        <v>15</v>
      </c>
      <c r="E119" s="12">
        <v>5.0</v>
      </c>
      <c r="F119" s="12">
        <v>5.0</v>
      </c>
      <c r="G119" s="12">
        <v>5.0</v>
      </c>
      <c r="H119" s="12">
        <v>5.0</v>
      </c>
      <c r="I119" s="12">
        <v>4.0</v>
      </c>
      <c r="J119" s="12" t="s">
        <v>21</v>
      </c>
      <c r="K119" s="14" t="s">
        <v>22</v>
      </c>
    </row>
    <row r="120">
      <c r="A120" s="7">
        <v>45837.29563491898</v>
      </c>
      <c r="B120" s="8">
        <v>84.0</v>
      </c>
      <c r="C120" s="9" t="s">
        <v>11</v>
      </c>
      <c r="D120" s="8" t="s">
        <v>15</v>
      </c>
      <c r="E120" s="8">
        <v>4.0</v>
      </c>
      <c r="F120" s="8">
        <v>2.0</v>
      </c>
      <c r="G120" s="8">
        <v>3.0</v>
      </c>
      <c r="H120" s="8">
        <v>4.0</v>
      </c>
      <c r="I120" s="8">
        <v>3.0</v>
      </c>
      <c r="J120" s="8" t="s">
        <v>23</v>
      </c>
      <c r="K120" s="18" t="s">
        <v>24</v>
      </c>
    </row>
    <row r="121">
      <c r="A121" s="11">
        <v>45832.05081538194</v>
      </c>
      <c r="B121" s="12">
        <v>85.0</v>
      </c>
      <c r="C121" s="13" t="s">
        <v>11</v>
      </c>
      <c r="D121" s="12" t="s">
        <v>12</v>
      </c>
      <c r="E121" s="12">
        <v>3.0</v>
      </c>
      <c r="F121" s="12">
        <v>3.0</v>
      </c>
      <c r="G121" s="12">
        <v>3.0</v>
      </c>
      <c r="H121" s="12">
        <v>4.0</v>
      </c>
      <c r="I121" s="12">
        <v>4.0</v>
      </c>
      <c r="J121" s="12" t="s">
        <v>13</v>
      </c>
      <c r="K121" s="10" t="s">
        <v>14</v>
      </c>
    </row>
    <row r="122">
      <c r="A122" s="7">
        <v>45835.580365208334</v>
      </c>
      <c r="B122" s="8">
        <v>85.0</v>
      </c>
      <c r="C122" s="9" t="s">
        <v>11</v>
      </c>
      <c r="D122" s="8" t="s">
        <v>12</v>
      </c>
      <c r="E122" s="8">
        <v>4.0</v>
      </c>
      <c r="F122" s="8">
        <v>5.0</v>
      </c>
      <c r="G122" s="8">
        <v>5.0</v>
      </c>
      <c r="H122" s="8">
        <v>5.0</v>
      </c>
      <c r="I122" s="8">
        <v>4.0</v>
      </c>
      <c r="J122" s="8" t="s">
        <v>21</v>
      </c>
      <c r="K122" s="18" t="s">
        <v>22</v>
      </c>
    </row>
    <row r="123">
      <c r="A123" s="11">
        <v>45837.30195887732</v>
      </c>
      <c r="B123" s="12">
        <v>85.0</v>
      </c>
      <c r="C123" s="13" t="s">
        <v>11</v>
      </c>
      <c r="D123" s="12" t="s">
        <v>12</v>
      </c>
      <c r="E123" s="12">
        <v>3.0</v>
      </c>
      <c r="F123" s="12">
        <v>2.0</v>
      </c>
      <c r="G123" s="12">
        <v>3.0</v>
      </c>
      <c r="H123" s="12">
        <v>4.0</v>
      </c>
      <c r="I123" s="12">
        <v>4.0</v>
      </c>
      <c r="J123" s="12" t="s">
        <v>25</v>
      </c>
      <c r="K123" s="14" t="s">
        <v>26</v>
      </c>
    </row>
    <row r="124">
      <c r="A124" s="7">
        <v>45832.05152278935</v>
      </c>
      <c r="B124" s="8">
        <v>87.0</v>
      </c>
      <c r="C124" s="9" t="s">
        <v>11</v>
      </c>
      <c r="D124" s="8" t="s">
        <v>20</v>
      </c>
      <c r="E124" s="8">
        <v>4.0</v>
      </c>
      <c r="F124" s="8">
        <v>2.0</v>
      </c>
      <c r="G124" s="8">
        <v>3.0</v>
      </c>
      <c r="H124" s="8">
        <v>2.0</v>
      </c>
      <c r="I124" s="8">
        <v>2.0</v>
      </c>
      <c r="J124" s="8" t="s">
        <v>13</v>
      </c>
      <c r="K124" s="10" t="s">
        <v>14</v>
      </c>
    </row>
    <row r="125">
      <c r="A125" s="11">
        <v>45837.302265335646</v>
      </c>
      <c r="B125" s="12">
        <v>87.0</v>
      </c>
      <c r="C125" s="13" t="s">
        <v>11</v>
      </c>
      <c r="D125" s="12" t="s">
        <v>20</v>
      </c>
      <c r="E125" s="12">
        <v>3.0</v>
      </c>
      <c r="F125" s="12">
        <v>3.0</v>
      </c>
      <c r="G125" s="12">
        <v>2.0</v>
      </c>
      <c r="H125" s="12">
        <v>2.0</v>
      </c>
      <c r="I125" s="12">
        <v>1.0</v>
      </c>
      <c r="J125" s="12" t="s">
        <v>25</v>
      </c>
      <c r="K125" s="14" t="s">
        <v>26</v>
      </c>
    </row>
    <row r="126">
      <c r="A126" s="7">
        <v>45853.43169049769</v>
      </c>
      <c r="B126" s="8">
        <v>88.0</v>
      </c>
      <c r="C126" s="9" t="s">
        <v>18</v>
      </c>
      <c r="D126" s="8"/>
      <c r="E126" s="8">
        <v>4.0</v>
      </c>
      <c r="F126" s="8">
        <v>4.0</v>
      </c>
      <c r="G126" s="8">
        <v>3.0</v>
      </c>
      <c r="H126" s="8">
        <v>5.0</v>
      </c>
      <c r="I126" s="8">
        <v>5.0</v>
      </c>
      <c r="J126" s="8" t="s">
        <v>27</v>
      </c>
      <c r="K126" s="10" t="s">
        <v>28</v>
      </c>
    </row>
    <row r="127">
      <c r="A127" s="11">
        <v>45837.30242612268</v>
      </c>
      <c r="B127" s="12">
        <v>89.0</v>
      </c>
      <c r="C127" s="13" t="s">
        <v>11</v>
      </c>
      <c r="D127" s="12" t="s">
        <v>20</v>
      </c>
      <c r="E127" s="12">
        <v>3.0</v>
      </c>
      <c r="F127" s="12">
        <v>3.0</v>
      </c>
      <c r="G127" s="12">
        <v>4.0</v>
      </c>
      <c r="H127" s="12">
        <v>2.0</v>
      </c>
      <c r="I127" s="12">
        <v>5.0</v>
      </c>
      <c r="J127" s="12" t="s">
        <v>25</v>
      </c>
      <c r="K127" s="14" t="s">
        <v>26</v>
      </c>
    </row>
    <row r="128">
      <c r="A128" s="7">
        <v>45837.30266152778</v>
      </c>
      <c r="B128" s="8">
        <v>90.0</v>
      </c>
      <c r="C128" s="9" t="s">
        <v>11</v>
      </c>
      <c r="D128" s="8" t="s">
        <v>12</v>
      </c>
      <c r="E128" s="8">
        <v>4.0</v>
      </c>
      <c r="F128" s="8">
        <v>2.0</v>
      </c>
      <c r="G128" s="8">
        <v>1.0</v>
      </c>
      <c r="H128" s="8">
        <v>3.0</v>
      </c>
      <c r="I128" s="8">
        <v>3.0</v>
      </c>
      <c r="J128" s="8" t="s">
        <v>25</v>
      </c>
      <c r="K128" s="18" t="s">
        <v>26</v>
      </c>
    </row>
    <row r="129">
      <c r="A129" s="11">
        <v>45853.432221145835</v>
      </c>
      <c r="B129" s="12">
        <v>92.0</v>
      </c>
      <c r="C129" s="13" t="s">
        <v>11</v>
      </c>
      <c r="D129" s="12" t="s">
        <v>15</v>
      </c>
      <c r="E129" s="12">
        <v>4.0</v>
      </c>
      <c r="F129" s="12">
        <v>3.0</v>
      </c>
      <c r="G129" s="12">
        <v>4.0</v>
      </c>
      <c r="H129" s="12">
        <v>4.0</v>
      </c>
      <c r="I129" s="12">
        <v>3.0</v>
      </c>
      <c r="J129" s="12" t="s">
        <v>27</v>
      </c>
      <c r="K129" s="10" t="s">
        <v>28</v>
      </c>
    </row>
    <row r="130">
      <c r="A130" s="7">
        <v>45837.295913368056</v>
      </c>
      <c r="B130" s="8">
        <v>93.0</v>
      </c>
      <c r="C130" s="9" t="s">
        <v>11</v>
      </c>
      <c r="D130" s="8" t="s">
        <v>20</v>
      </c>
      <c r="E130" s="8">
        <v>4.0</v>
      </c>
      <c r="F130" s="8">
        <v>3.0</v>
      </c>
      <c r="G130" s="8">
        <v>3.0</v>
      </c>
      <c r="H130" s="8">
        <v>2.0</v>
      </c>
      <c r="I130" s="8">
        <v>2.0</v>
      </c>
      <c r="J130" s="8" t="s">
        <v>23</v>
      </c>
      <c r="K130" s="18" t="s">
        <v>24</v>
      </c>
    </row>
    <row r="131">
      <c r="A131" s="11">
        <v>45837.3029175463</v>
      </c>
      <c r="B131" s="12">
        <v>93.0</v>
      </c>
      <c r="C131" s="13" t="s">
        <v>11</v>
      </c>
      <c r="D131" s="12" t="s">
        <v>20</v>
      </c>
      <c r="E131" s="12">
        <v>3.0</v>
      </c>
      <c r="F131" s="12">
        <v>2.0</v>
      </c>
      <c r="G131" s="12">
        <v>3.0</v>
      </c>
      <c r="H131" s="12">
        <v>4.0</v>
      </c>
      <c r="I131" s="12">
        <v>4.0</v>
      </c>
      <c r="J131" s="12" t="s">
        <v>25</v>
      </c>
      <c r="K131" s="14" t="s">
        <v>26</v>
      </c>
    </row>
    <row r="132">
      <c r="A132" s="7">
        <v>45853.43265364583</v>
      </c>
      <c r="B132" s="8">
        <v>94.0</v>
      </c>
      <c r="C132" s="9" t="s">
        <v>18</v>
      </c>
      <c r="D132" s="8"/>
      <c r="E132" s="8">
        <v>4.0</v>
      </c>
      <c r="F132" s="8">
        <v>3.0</v>
      </c>
      <c r="G132" s="8">
        <v>4.0</v>
      </c>
      <c r="H132" s="8">
        <v>5.0</v>
      </c>
      <c r="I132" s="8">
        <v>4.0</v>
      </c>
      <c r="J132" s="8" t="s">
        <v>27</v>
      </c>
      <c r="K132" s="10" t="s">
        <v>28</v>
      </c>
    </row>
    <row r="133">
      <c r="A133" s="11">
        <v>45837.30320318287</v>
      </c>
      <c r="B133" s="12">
        <v>95.0</v>
      </c>
      <c r="C133" s="13" t="s">
        <v>11</v>
      </c>
      <c r="D133" s="12" t="s">
        <v>15</v>
      </c>
      <c r="E133" s="12">
        <v>4.0</v>
      </c>
      <c r="F133" s="12">
        <v>1.0</v>
      </c>
      <c r="G133" s="12">
        <v>3.0</v>
      </c>
      <c r="H133" s="12">
        <v>3.0</v>
      </c>
      <c r="I133" s="12">
        <v>3.0</v>
      </c>
      <c r="J133" s="12" t="s">
        <v>25</v>
      </c>
      <c r="K133" s="14" t="s">
        <v>26</v>
      </c>
    </row>
    <row r="134">
      <c r="A134" s="7">
        <v>45853.43304875</v>
      </c>
      <c r="B134" s="8">
        <v>95.0</v>
      </c>
      <c r="C134" s="9" t="s">
        <v>11</v>
      </c>
      <c r="D134" s="8" t="s">
        <v>15</v>
      </c>
      <c r="E134" s="8">
        <v>4.0</v>
      </c>
      <c r="F134" s="8">
        <v>5.0</v>
      </c>
      <c r="G134" s="8">
        <v>4.0</v>
      </c>
      <c r="H134" s="8">
        <v>3.0</v>
      </c>
      <c r="I134" s="8">
        <v>4.0</v>
      </c>
      <c r="J134" s="8" t="s">
        <v>27</v>
      </c>
      <c r="K134" s="10" t="s">
        <v>28</v>
      </c>
    </row>
    <row r="135">
      <c r="A135" s="11">
        <v>45832.77393623843</v>
      </c>
      <c r="B135" s="12">
        <v>97.0</v>
      </c>
      <c r="C135" s="13" t="s">
        <v>11</v>
      </c>
      <c r="D135" s="12" t="s">
        <v>15</v>
      </c>
      <c r="E135" s="12">
        <v>2.0</v>
      </c>
      <c r="F135" s="12">
        <v>1.0</v>
      </c>
      <c r="G135" s="12">
        <v>2.0</v>
      </c>
      <c r="H135" s="12">
        <v>2.0</v>
      </c>
      <c r="I135" s="12">
        <v>1.0</v>
      </c>
      <c r="J135" s="12" t="s">
        <v>16</v>
      </c>
      <c r="K135" s="14" t="s">
        <v>17</v>
      </c>
    </row>
    <row r="136">
      <c r="A136" s="7">
        <v>45837.29672428241</v>
      </c>
      <c r="B136" s="8">
        <v>97.0</v>
      </c>
      <c r="C136" s="9" t="s">
        <v>11</v>
      </c>
      <c r="D136" s="8" t="s">
        <v>15</v>
      </c>
      <c r="E136" s="8">
        <v>4.0</v>
      </c>
      <c r="F136" s="8">
        <v>3.0</v>
      </c>
      <c r="G136" s="8">
        <v>2.0</v>
      </c>
      <c r="H136" s="8">
        <v>3.0</v>
      </c>
      <c r="I136" s="8">
        <v>2.0</v>
      </c>
      <c r="J136" s="8" t="s">
        <v>23</v>
      </c>
      <c r="K136" s="18" t="s">
        <v>24</v>
      </c>
    </row>
    <row r="137">
      <c r="A137" s="11">
        <v>45832.052276296294</v>
      </c>
      <c r="B137" s="12">
        <v>99.0</v>
      </c>
      <c r="C137" s="13" t="s">
        <v>11</v>
      </c>
      <c r="D137" s="12" t="s">
        <v>15</v>
      </c>
      <c r="E137" s="12">
        <v>3.0</v>
      </c>
      <c r="F137" s="12">
        <v>3.0</v>
      </c>
      <c r="G137" s="12">
        <v>4.0</v>
      </c>
      <c r="H137" s="12">
        <v>3.0</v>
      </c>
      <c r="I137" s="12">
        <v>3.0</v>
      </c>
      <c r="J137" s="12" t="s">
        <v>13</v>
      </c>
      <c r="K137" s="10" t="s">
        <v>14</v>
      </c>
    </row>
    <row r="138">
      <c r="A138" s="7">
        <v>45853.433588263884</v>
      </c>
      <c r="B138" s="8">
        <v>100.0</v>
      </c>
      <c r="C138" s="9" t="s">
        <v>18</v>
      </c>
      <c r="D138" s="8"/>
      <c r="E138" s="8">
        <v>4.0</v>
      </c>
      <c r="F138" s="8">
        <v>4.0</v>
      </c>
      <c r="G138" s="8">
        <v>5.0</v>
      </c>
      <c r="H138" s="8">
        <v>4.0</v>
      </c>
      <c r="I138" s="8">
        <v>4.0</v>
      </c>
      <c r="J138" s="8" t="s">
        <v>27</v>
      </c>
      <c r="K138" s="10" t="s">
        <v>28</v>
      </c>
    </row>
    <row r="139">
      <c r="A139" s="11">
        <v>45853.43404907407</v>
      </c>
      <c r="B139" s="12">
        <v>102.0</v>
      </c>
      <c r="C139" s="13" t="s">
        <v>11</v>
      </c>
      <c r="D139" s="12" t="s">
        <v>20</v>
      </c>
      <c r="E139" s="12">
        <v>4.0</v>
      </c>
      <c r="F139" s="12">
        <v>5.0</v>
      </c>
      <c r="G139" s="12">
        <v>4.0</v>
      </c>
      <c r="H139" s="12">
        <v>4.0</v>
      </c>
      <c r="I139" s="12">
        <v>3.0</v>
      </c>
      <c r="J139" s="12" t="s">
        <v>27</v>
      </c>
      <c r="K139" s="10" t="s">
        <v>28</v>
      </c>
    </row>
    <row r="140">
      <c r="A140" s="7">
        <v>45837.29691800926</v>
      </c>
      <c r="B140" s="8">
        <v>104.0</v>
      </c>
      <c r="C140" s="9" t="s">
        <v>11</v>
      </c>
      <c r="D140" s="8" t="s">
        <v>15</v>
      </c>
      <c r="E140" s="8">
        <v>4.0</v>
      </c>
      <c r="F140" s="8">
        <v>2.0</v>
      </c>
      <c r="G140" s="8">
        <v>2.0</v>
      </c>
      <c r="H140" s="8">
        <v>2.0</v>
      </c>
      <c r="I140" s="8">
        <v>3.0</v>
      </c>
      <c r="J140" s="8" t="s">
        <v>23</v>
      </c>
      <c r="K140" s="18" t="s">
        <v>24</v>
      </c>
    </row>
    <row r="141">
      <c r="A141" s="11">
        <v>45837.30350403935</v>
      </c>
      <c r="B141" s="12">
        <v>104.0</v>
      </c>
      <c r="C141" s="13" t="s">
        <v>11</v>
      </c>
      <c r="D141" s="12" t="s">
        <v>15</v>
      </c>
      <c r="E141" s="12">
        <v>3.0</v>
      </c>
      <c r="F141" s="12">
        <v>2.0</v>
      </c>
      <c r="G141" s="12">
        <v>3.0</v>
      </c>
      <c r="H141" s="12">
        <v>4.0</v>
      </c>
      <c r="I141" s="12">
        <v>3.0</v>
      </c>
      <c r="J141" s="12" t="s">
        <v>25</v>
      </c>
      <c r="K141" s="14" t="s">
        <v>26</v>
      </c>
    </row>
    <row r="142">
      <c r="A142" s="7">
        <v>45832.05287530093</v>
      </c>
      <c r="B142" s="8">
        <v>106.0</v>
      </c>
      <c r="C142" s="9" t="s">
        <v>11</v>
      </c>
      <c r="D142" s="8" t="s">
        <v>12</v>
      </c>
      <c r="E142" s="8">
        <v>4.0</v>
      </c>
      <c r="F142" s="8">
        <v>4.0</v>
      </c>
      <c r="G142" s="8">
        <v>3.0</v>
      </c>
      <c r="H142" s="8">
        <v>4.0</v>
      </c>
      <c r="I142" s="8">
        <v>4.0</v>
      </c>
      <c r="J142" s="8" t="s">
        <v>13</v>
      </c>
      <c r="K142" s="10" t="s">
        <v>14</v>
      </c>
    </row>
    <row r="143">
      <c r="A143" s="11">
        <v>45832.05347009259</v>
      </c>
      <c r="B143" s="12">
        <v>108.0</v>
      </c>
      <c r="C143" s="13" t="s">
        <v>11</v>
      </c>
      <c r="D143" s="12" t="s">
        <v>15</v>
      </c>
      <c r="E143" s="12">
        <v>4.0</v>
      </c>
      <c r="F143" s="12">
        <v>3.0</v>
      </c>
      <c r="G143" s="12">
        <v>3.0</v>
      </c>
      <c r="H143" s="12">
        <v>4.0</v>
      </c>
      <c r="I143" s="12">
        <v>5.0</v>
      </c>
      <c r="J143" s="12" t="s">
        <v>13</v>
      </c>
      <c r="K143" s="10" t="s">
        <v>14</v>
      </c>
    </row>
    <row r="144">
      <c r="A144" s="7">
        <v>45853.43453370371</v>
      </c>
      <c r="B144" s="8">
        <v>109.0</v>
      </c>
      <c r="C144" s="9" t="s">
        <v>18</v>
      </c>
      <c r="D144" s="8"/>
      <c r="E144" s="8">
        <v>4.0</v>
      </c>
      <c r="F144" s="8">
        <v>3.0</v>
      </c>
      <c r="G144" s="8">
        <v>4.0</v>
      </c>
      <c r="H144" s="8">
        <v>4.0</v>
      </c>
      <c r="I144" s="8">
        <v>3.0</v>
      </c>
      <c r="J144" s="8" t="s">
        <v>27</v>
      </c>
      <c r="K144" s="10" t="s">
        <v>28</v>
      </c>
    </row>
    <row r="145">
      <c r="A145" s="11">
        <v>45832.05402542824</v>
      </c>
      <c r="B145" s="12">
        <v>111.0</v>
      </c>
      <c r="C145" s="13" t="s">
        <v>11</v>
      </c>
      <c r="D145" s="12" t="s">
        <v>12</v>
      </c>
      <c r="E145" s="12">
        <v>2.0</v>
      </c>
      <c r="F145" s="12">
        <v>3.0</v>
      </c>
      <c r="G145" s="12">
        <v>3.0</v>
      </c>
      <c r="H145" s="12">
        <v>2.0</v>
      </c>
      <c r="I145" s="12">
        <v>2.0</v>
      </c>
      <c r="J145" s="12" t="s">
        <v>13</v>
      </c>
      <c r="K145" s="10" t="s">
        <v>14</v>
      </c>
    </row>
    <row r="146">
      <c r="A146" s="7">
        <v>45832.77440190972</v>
      </c>
      <c r="B146" s="8">
        <v>113.0</v>
      </c>
      <c r="C146" s="9" t="s">
        <v>11</v>
      </c>
      <c r="D146" s="8" t="s">
        <v>12</v>
      </c>
      <c r="E146" s="8">
        <v>3.0</v>
      </c>
      <c r="F146" s="8">
        <v>3.0</v>
      </c>
      <c r="G146" s="8">
        <v>4.0</v>
      </c>
      <c r="H146" s="8">
        <v>2.0</v>
      </c>
      <c r="I146" s="8">
        <v>4.0</v>
      </c>
      <c r="J146" s="8" t="s">
        <v>16</v>
      </c>
      <c r="K146" s="18" t="s">
        <v>17</v>
      </c>
    </row>
    <row r="147">
      <c r="A147" s="11">
        <v>45837.303663680555</v>
      </c>
      <c r="B147" s="12">
        <v>113.0</v>
      </c>
      <c r="C147" s="13" t="s">
        <v>11</v>
      </c>
      <c r="D147" s="12" t="s">
        <v>12</v>
      </c>
      <c r="E147" s="12">
        <v>3.0</v>
      </c>
      <c r="F147" s="12">
        <v>3.0</v>
      </c>
      <c r="G147" s="12">
        <v>2.0</v>
      </c>
      <c r="H147" s="12">
        <v>4.0</v>
      </c>
      <c r="I147" s="12">
        <v>3.0</v>
      </c>
      <c r="J147" s="12" t="s">
        <v>25</v>
      </c>
      <c r="K147" s="14" t="s">
        <v>26</v>
      </c>
    </row>
    <row r="148">
      <c r="A148" s="7">
        <v>45853.43486289352</v>
      </c>
      <c r="B148" s="8">
        <v>115.0</v>
      </c>
      <c r="C148" s="9" t="s">
        <v>18</v>
      </c>
      <c r="D148" s="8"/>
      <c r="E148" s="8">
        <v>4.0</v>
      </c>
      <c r="F148" s="8">
        <v>4.0</v>
      </c>
      <c r="G148" s="8">
        <v>3.0</v>
      </c>
      <c r="H148" s="8">
        <v>5.0</v>
      </c>
      <c r="I148" s="8">
        <v>4.0</v>
      </c>
      <c r="J148" s="8" t="s">
        <v>27</v>
      </c>
      <c r="K148" s="10" t="s">
        <v>28</v>
      </c>
    </row>
    <row r="149">
      <c r="A149" s="11">
        <v>45832.05450219907</v>
      </c>
      <c r="B149" s="12">
        <v>116.0</v>
      </c>
      <c r="C149" s="13" t="s">
        <v>11</v>
      </c>
      <c r="D149" s="12" t="s">
        <v>15</v>
      </c>
      <c r="E149" s="12">
        <v>4.0</v>
      </c>
      <c r="F149" s="12">
        <v>4.0</v>
      </c>
      <c r="G149" s="12">
        <v>5.0</v>
      </c>
      <c r="H149" s="12">
        <v>5.0</v>
      </c>
      <c r="I149" s="12">
        <v>2.0</v>
      </c>
      <c r="J149" s="12" t="s">
        <v>13</v>
      </c>
      <c r="K149" s="10" t="s">
        <v>14</v>
      </c>
    </row>
    <row r="150">
      <c r="A150" s="7">
        <v>45832.77485173611</v>
      </c>
      <c r="B150" s="8">
        <v>116.0</v>
      </c>
      <c r="C150" s="21" t="s">
        <v>11</v>
      </c>
      <c r="D150" s="8" t="s">
        <v>15</v>
      </c>
      <c r="E150" s="8">
        <v>4.0</v>
      </c>
      <c r="F150" s="8">
        <v>2.0</v>
      </c>
      <c r="G150" s="8">
        <v>2.0</v>
      </c>
      <c r="H150" s="8">
        <v>3.0</v>
      </c>
      <c r="I150" s="8">
        <v>4.0</v>
      </c>
      <c r="J150" s="8" t="s">
        <v>16</v>
      </c>
      <c r="K150" s="18" t="s">
        <v>17</v>
      </c>
    </row>
    <row r="151">
      <c r="A151" s="11">
        <v>45853.43532053241</v>
      </c>
      <c r="B151" s="12">
        <v>118.0</v>
      </c>
      <c r="C151" s="13" t="s">
        <v>18</v>
      </c>
      <c r="D151" s="12"/>
      <c r="E151" s="12">
        <v>4.0</v>
      </c>
      <c r="F151" s="12">
        <v>5.0</v>
      </c>
      <c r="G151" s="12">
        <v>4.0</v>
      </c>
      <c r="H151" s="12">
        <v>4.0</v>
      </c>
      <c r="I151" s="12">
        <v>4.0</v>
      </c>
      <c r="J151" s="12" t="s">
        <v>27</v>
      </c>
      <c r="K151" s="10" t="s">
        <v>28</v>
      </c>
    </row>
    <row r="152">
      <c r="A152" s="7">
        <v>45853.436096481484</v>
      </c>
      <c r="B152" s="8">
        <v>121.0</v>
      </c>
      <c r="C152" s="9" t="s">
        <v>18</v>
      </c>
      <c r="D152" s="8"/>
      <c r="E152" s="8">
        <v>4.0</v>
      </c>
      <c r="F152" s="8">
        <v>4.0</v>
      </c>
      <c r="G152" s="8">
        <v>3.0</v>
      </c>
      <c r="H152" s="8">
        <v>5.0</v>
      </c>
      <c r="I152" s="8">
        <v>4.0</v>
      </c>
      <c r="J152" s="8" t="s">
        <v>27</v>
      </c>
      <c r="K152" s="10" t="s">
        <v>28</v>
      </c>
    </row>
    <row r="153">
      <c r="A153" s="11">
        <v>45853.43641637731</v>
      </c>
      <c r="B153" s="12">
        <v>125.0</v>
      </c>
      <c r="C153" s="13" t="s">
        <v>18</v>
      </c>
      <c r="D153" s="12"/>
      <c r="E153" s="12">
        <v>4.0</v>
      </c>
      <c r="F153" s="12">
        <v>4.0</v>
      </c>
      <c r="G153" s="12">
        <v>3.0</v>
      </c>
      <c r="H153" s="12">
        <v>5.0</v>
      </c>
      <c r="I153" s="12">
        <v>4.0</v>
      </c>
      <c r="J153" s="12" t="s">
        <v>27</v>
      </c>
      <c r="K153" s="10" t="s">
        <v>28</v>
      </c>
    </row>
    <row r="154">
      <c r="A154" s="7">
        <v>45867.67485368055</v>
      </c>
      <c r="B154" s="8">
        <v>49.0</v>
      </c>
      <c r="C154" s="9" t="s">
        <v>18</v>
      </c>
      <c r="E154" s="8">
        <v>3.0</v>
      </c>
      <c r="F154" s="8">
        <v>4.0</v>
      </c>
      <c r="G154" s="8">
        <v>4.0</v>
      </c>
      <c r="H154" s="8">
        <v>3.0</v>
      </c>
      <c r="I154" s="8">
        <v>3.0</v>
      </c>
      <c r="J154" s="22" t="s">
        <v>30</v>
      </c>
      <c r="K154" s="10" t="s">
        <v>31</v>
      </c>
    </row>
    <row r="155">
      <c r="A155" s="11">
        <v>45867.67733622685</v>
      </c>
      <c r="B155" s="12">
        <v>51.0</v>
      </c>
      <c r="C155" s="13" t="s">
        <v>18</v>
      </c>
      <c r="E155" s="12">
        <v>5.0</v>
      </c>
      <c r="F155" s="12">
        <v>5.0</v>
      </c>
      <c r="G155" s="12">
        <v>5.0</v>
      </c>
      <c r="H155" s="12">
        <v>5.0</v>
      </c>
      <c r="I155" s="12">
        <v>5.0</v>
      </c>
      <c r="J155" s="22" t="s">
        <v>36</v>
      </c>
      <c r="K155" s="10" t="s">
        <v>31</v>
      </c>
    </row>
    <row r="156">
      <c r="A156" s="7">
        <v>45867.68096708333</v>
      </c>
      <c r="B156" s="8">
        <v>57.0</v>
      </c>
      <c r="C156" s="21" t="s">
        <v>11</v>
      </c>
      <c r="D156" s="8" t="s">
        <v>15</v>
      </c>
      <c r="E156" s="8">
        <v>4.0</v>
      </c>
      <c r="F156" s="8">
        <v>4.0</v>
      </c>
      <c r="G156" s="8">
        <v>4.0</v>
      </c>
      <c r="H156" s="8">
        <v>4.0</v>
      </c>
      <c r="I156" s="8">
        <v>4.0</v>
      </c>
      <c r="J156" s="22" t="s">
        <v>36</v>
      </c>
      <c r="K156" s="10" t="s">
        <v>31</v>
      </c>
    </row>
    <row r="157">
      <c r="A157" s="11">
        <v>45867.682414016206</v>
      </c>
      <c r="B157" s="12">
        <v>58.0</v>
      </c>
      <c r="C157" s="20" t="s">
        <v>11</v>
      </c>
      <c r="D157" s="12" t="s">
        <v>12</v>
      </c>
      <c r="E157" s="12">
        <v>4.0</v>
      </c>
      <c r="F157" s="12">
        <v>4.0</v>
      </c>
      <c r="G157" s="12">
        <v>4.0</v>
      </c>
      <c r="H157" s="12">
        <v>4.0</v>
      </c>
      <c r="I157" s="12">
        <v>4.0</v>
      </c>
      <c r="J157" s="22" t="s">
        <v>36</v>
      </c>
      <c r="K157" s="10" t="s">
        <v>31</v>
      </c>
    </row>
    <row r="158">
      <c r="A158" s="7">
        <v>45867.68839244213</v>
      </c>
      <c r="B158" s="8">
        <v>67.0</v>
      </c>
      <c r="C158" s="9" t="s">
        <v>18</v>
      </c>
      <c r="E158" s="8">
        <v>4.0</v>
      </c>
      <c r="F158" s="8">
        <v>4.0</v>
      </c>
      <c r="G158" s="8">
        <v>4.0</v>
      </c>
      <c r="H158" s="8">
        <v>4.0</v>
      </c>
      <c r="I158" s="8">
        <v>4.0</v>
      </c>
      <c r="J158" s="22" t="s">
        <v>36</v>
      </c>
      <c r="K158" s="10" t="s">
        <v>31</v>
      </c>
    </row>
    <row r="159">
      <c r="A159" s="11">
        <v>45867.6939059838</v>
      </c>
      <c r="B159" s="12">
        <v>73.0</v>
      </c>
      <c r="C159" s="20" t="s">
        <v>11</v>
      </c>
      <c r="D159" s="12" t="s">
        <v>15</v>
      </c>
      <c r="E159" s="12">
        <v>5.0</v>
      </c>
      <c r="F159" s="12">
        <v>5.0</v>
      </c>
      <c r="G159" s="12">
        <v>5.0</v>
      </c>
      <c r="H159" s="12">
        <v>5.0</v>
      </c>
      <c r="I159" s="12">
        <v>5.0</v>
      </c>
      <c r="J159" s="22" t="s">
        <v>36</v>
      </c>
      <c r="K159" s="10" t="s">
        <v>31</v>
      </c>
    </row>
    <row r="160">
      <c r="A160" s="7">
        <v>45867.69610908565</v>
      </c>
      <c r="B160" s="8">
        <v>80.0</v>
      </c>
      <c r="C160" s="9" t="s">
        <v>18</v>
      </c>
      <c r="E160" s="8">
        <v>5.0</v>
      </c>
      <c r="F160" s="8">
        <v>5.0</v>
      </c>
      <c r="G160" s="8">
        <v>5.0</v>
      </c>
      <c r="H160" s="8">
        <v>5.0</v>
      </c>
      <c r="I160" s="8">
        <v>5.0</v>
      </c>
      <c r="J160" s="22" t="s">
        <v>36</v>
      </c>
      <c r="K160" s="10" t="s">
        <v>31</v>
      </c>
    </row>
    <row r="161">
      <c r="A161" s="11">
        <v>45867.69638974537</v>
      </c>
      <c r="B161" s="12">
        <v>81.0</v>
      </c>
      <c r="C161" s="13" t="s">
        <v>18</v>
      </c>
      <c r="E161" s="12">
        <v>4.0</v>
      </c>
      <c r="F161" s="12">
        <v>4.0</v>
      </c>
      <c r="G161" s="12">
        <v>4.0</v>
      </c>
      <c r="H161" s="12">
        <v>4.0</v>
      </c>
      <c r="I161" s="12">
        <v>4.0</v>
      </c>
      <c r="J161" s="22" t="s">
        <v>36</v>
      </c>
      <c r="K161" s="10" t="s">
        <v>31</v>
      </c>
    </row>
    <row r="162">
      <c r="A162" s="7">
        <v>45867.70006491899</v>
      </c>
      <c r="B162" s="8">
        <v>90.0</v>
      </c>
      <c r="C162" s="21" t="s">
        <v>11</v>
      </c>
      <c r="D162" s="8" t="s">
        <v>12</v>
      </c>
      <c r="E162" s="8">
        <v>4.0</v>
      </c>
      <c r="F162" s="8">
        <v>5.0</v>
      </c>
      <c r="G162" s="8">
        <v>4.0</v>
      </c>
      <c r="H162" s="8">
        <v>4.0</v>
      </c>
      <c r="I162" s="8">
        <v>4.0</v>
      </c>
      <c r="J162" s="22" t="s">
        <v>36</v>
      </c>
      <c r="K162" s="10" t="s">
        <v>31</v>
      </c>
    </row>
    <row r="163">
      <c r="A163" s="11">
        <v>45867.70032795139</v>
      </c>
      <c r="B163" s="12">
        <v>91.0</v>
      </c>
      <c r="C163" s="13" t="s">
        <v>18</v>
      </c>
      <c r="E163" s="12">
        <v>5.0</v>
      </c>
      <c r="F163" s="12">
        <v>4.0</v>
      </c>
      <c r="G163" s="12">
        <v>4.0</v>
      </c>
      <c r="H163" s="12">
        <v>5.0</v>
      </c>
      <c r="I163" s="12">
        <v>5.0</v>
      </c>
      <c r="J163" s="22" t="s">
        <v>36</v>
      </c>
      <c r="K163" s="10" t="s">
        <v>31</v>
      </c>
    </row>
    <row r="164">
      <c r="A164" s="7">
        <v>45867.703417916666</v>
      </c>
      <c r="B164" s="8">
        <v>98.0</v>
      </c>
      <c r="C164" s="9" t="s">
        <v>18</v>
      </c>
      <c r="E164" s="8">
        <v>5.0</v>
      </c>
      <c r="F164" s="8">
        <v>4.0</v>
      </c>
      <c r="G164" s="8">
        <v>4.0</v>
      </c>
      <c r="H164" s="8">
        <v>4.0</v>
      </c>
      <c r="I164" s="8">
        <v>4.0</v>
      </c>
      <c r="J164" s="22" t="s">
        <v>36</v>
      </c>
      <c r="K164" s="10" t="s">
        <v>31</v>
      </c>
    </row>
    <row r="165">
      <c r="A165" s="11">
        <v>45867.708915509254</v>
      </c>
      <c r="B165" s="12">
        <v>105.0</v>
      </c>
      <c r="C165" s="20" t="s">
        <v>11</v>
      </c>
      <c r="D165" s="12" t="s">
        <v>12</v>
      </c>
      <c r="E165" s="12">
        <v>4.0</v>
      </c>
      <c r="F165" s="12">
        <v>4.0</v>
      </c>
      <c r="G165" s="12">
        <v>4.0</v>
      </c>
      <c r="H165" s="12">
        <v>4.0</v>
      </c>
      <c r="I165" s="12">
        <v>4.0</v>
      </c>
      <c r="J165" s="22" t="s">
        <v>36</v>
      </c>
      <c r="K165" s="10" t="s">
        <v>31</v>
      </c>
    </row>
    <row r="166">
      <c r="A166" s="7">
        <v>45867.70946489583</v>
      </c>
      <c r="B166" s="8">
        <v>106.0</v>
      </c>
      <c r="C166" s="21" t="s">
        <v>11</v>
      </c>
      <c r="D166" s="8" t="s">
        <v>12</v>
      </c>
      <c r="E166" s="8">
        <v>3.0</v>
      </c>
      <c r="F166" s="8">
        <v>3.0</v>
      </c>
      <c r="G166" s="8">
        <v>3.0</v>
      </c>
      <c r="H166" s="8">
        <v>3.0</v>
      </c>
      <c r="I166" s="8">
        <v>3.0</v>
      </c>
      <c r="J166" s="22" t="s">
        <v>36</v>
      </c>
      <c r="K166" s="10" t="s">
        <v>31</v>
      </c>
    </row>
    <row r="167">
      <c r="A167" s="11">
        <v>45867.7098030787</v>
      </c>
      <c r="B167" s="12">
        <v>107.0</v>
      </c>
      <c r="C167" s="13" t="s">
        <v>18</v>
      </c>
      <c r="E167" s="12">
        <v>3.0</v>
      </c>
      <c r="F167" s="12">
        <v>5.0</v>
      </c>
      <c r="G167" s="12">
        <v>4.0</v>
      </c>
      <c r="H167" s="12">
        <v>4.0</v>
      </c>
      <c r="I167" s="12">
        <v>4.0</v>
      </c>
      <c r="J167" s="22" t="s">
        <v>36</v>
      </c>
      <c r="K167" s="10" t="s">
        <v>31</v>
      </c>
    </row>
    <row r="168">
      <c r="A168" s="7">
        <v>45867.71089648148</v>
      </c>
      <c r="B168" s="8">
        <v>111.0</v>
      </c>
      <c r="C168" s="21" t="s">
        <v>11</v>
      </c>
      <c r="D168" s="8" t="s">
        <v>12</v>
      </c>
      <c r="E168" s="8">
        <v>4.0</v>
      </c>
      <c r="F168" s="8">
        <v>3.0</v>
      </c>
      <c r="G168" s="8">
        <v>3.0</v>
      </c>
      <c r="H168" s="8">
        <v>4.0</v>
      </c>
      <c r="I168" s="8">
        <v>4.0</v>
      </c>
      <c r="J168" s="22" t="s">
        <v>36</v>
      </c>
      <c r="K168" s="10" t="s">
        <v>31</v>
      </c>
    </row>
    <row r="169">
      <c r="A169" s="11">
        <v>45867.71123090277</v>
      </c>
      <c r="B169" s="12">
        <v>112.0</v>
      </c>
      <c r="C169" s="13" t="s">
        <v>18</v>
      </c>
      <c r="E169" s="12">
        <v>4.0</v>
      </c>
      <c r="F169" s="12">
        <v>4.0</v>
      </c>
      <c r="G169" s="12">
        <v>3.0</v>
      </c>
      <c r="H169" s="12">
        <v>4.0</v>
      </c>
      <c r="I169" s="12">
        <v>3.0</v>
      </c>
      <c r="J169" s="22" t="s">
        <v>36</v>
      </c>
      <c r="K169" s="10" t="s">
        <v>31</v>
      </c>
    </row>
    <row r="170">
      <c r="A170" s="7">
        <v>45867.71467458333</v>
      </c>
      <c r="B170" s="8">
        <v>120.0</v>
      </c>
      <c r="C170" s="9" t="s">
        <v>18</v>
      </c>
      <c r="E170" s="8">
        <v>4.0</v>
      </c>
      <c r="F170" s="8">
        <v>4.0</v>
      </c>
      <c r="G170" s="8">
        <v>4.0</v>
      </c>
      <c r="H170" s="8">
        <v>4.0</v>
      </c>
      <c r="I170" s="8">
        <v>4.0</v>
      </c>
      <c r="J170" s="22" t="s">
        <v>36</v>
      </c>
      <c r="K170" s="10" t="s">
        <v>31</v>
      </c>
    </row>
    <row r="171">
      <c r="A171" s="11">
        <v>45867.71658263889</v>
      </c>
      <c r="B171" s="12">
        <v>124.0</v>
      </c>
      <c r="C171" s="13" t="s">
        <v>18</v>
      </c>
      <c r="E171" s="12">
        <v>4.0</v>
      </c>
      <c r="F171" s="12">
        <v>3.0</v>
      </c>
      <c r="G171" s="12">
        <v>3.0</v>
      </c>
      <c r="H171" s="12">
        <v>4.0</v>
      </c>
      <c r="I171" s="12">
        <v>4.0</v>
      </c>
      <c r="J171" s="22" t="s">
        <v>36</v>
      </c>
      <c r="K171" s="10" t="s">
        <v>31</v>
      </c>
    </row>
    <row r="172">
      <c r="A172" s="7">
        <v>45867.71882061343</v>
      </c>
      <c r="B172" s="8">
        <v>128.0</v>
      </c>
      <c r="C172" s="9" t="s">
        <v>18</v>
      </c>
      <c r="E172" s="8">
        <v>4.0</v>
      </c>
      <c r="F172" s="8">
        <v>3.0</v>
      </c>
      <c r="G172" s="8">
        <v>4.0</v>
      </c>
      <c r="H172" s="8">
        <v>4.0</v>
      </c>
      <c r="I172" s="8">
        <v>4.0</v>
      </c>
      <c r="J172" s="22" t="s">
        <v>36</v>
      </c>
      <c r="K172" s="10" t="s">
        <v>31</v>
      </c>
    </row>
    <row r="173">
      <c r="A173" s="11">
        <v>45867.719698796296</v>
      </c>
      <c r="B173" s="12">
        <v>132.0</v>
      </c>
      <c r="C173" s="13" t="s">
        <v>18</v>
      </c>
      <c r="E173" s="12">
        <v>5.0</v>
      </c>
      <c r="F173" s="12">
        <v>2.0</v>
      </c>
      <c r="G173" s="12">
        <v>3.0</v>
      </c>
      <c r="H173" s="12">
        <v>4.0</v>
      </c>
      <c r="I173" s="12">
        <v>3.0</v>
      </c>
      <c r="J173" s="22" t="s">
        <v>36</v>
      </c>
      <c r="K173" s="10" t="s">
        <v>31</v>
      </c>
    </row>
    <row r="174">
      <c r="A174" s="7">
        <v>45867.72022533565</v>
      </c>
      <c r="B174" s="8">
        <v>135.0</v>
      </c>
      <c r="C174" s="9" t="s">
        <v>18</v>
      </c>
      <c r="E174" s="8">
        <v>4.0</v>
      </c>
      <c r="F174" s="8">
        <v>3.0</v>
      </c>
      <c r="G174" s="8">
        <v>4.0</v>
      </c>
      <c r="H174" s="8">
        <v>4.0</v>
      </c>
      <c r="I174" s="8">
        <v>3.0</v>
      </c>
      <c r="J174" s="22" t="s">
        <v>36</v>
      </c>
      <c r="K174" s="10" t="s">
        <v>31</v>
      </c>
    </row>
    <row r="175">
      <c r="A175" s="11">
        <v>45869.50653734954</v>
      </c>
      <c r="B175" s="12">
        <v>46.0</v>
      </c>
      <c r="C175" s="13" t="s">
        <v>11</v>
      </c>
      <c r="D175" s="12" t="s">
        <v>12</v>
      </c>
      <c r="E175" s="12">
        <v>4.0</v>
      </c>
      <c r="F175" s="12">
        <v>3.0</v>
      </c>
      <c r="G175" s="12">
        <v>4.0</v>
      </c>
      <c r="H175" s="12">
        <v>4.0</v>
      </c>
      <c r="I175" s="12">
        <v>3.0</v>
      </c>
      <c r="J175" s="12" t="s">
        <v>21</v>
      </c>
      <c r="K175" s="14" t="s">
        <v>22</v>
      </c>
    </row>
    <row r="176">
      <c r="A176" s="7">
        <v>45869.507212627315</v>
      </c>
      <c r="B176" s="8">
        <v>97.0</v>
      </c>
      <c r="C176" s="21" t="s">
        <v>11</v>
      </c>
      <c r="D176" s="8" t="s">
        <v>15</v>
      </c>
      <c r="E176" s="8">
        <v>5.0</v>
      </c>
      <c r="F176" s="8">
        <v>4.0</v>
      </c>
      <c r="G176" s="8">
        <v>5.0</v>
      </c>
      <c r="H176" s="8">
        <v>4.0</v>
      </c>
      <c r="I176" s="8">
        <v>4.0</v>
      </c>
      <c r="J176" s="8" t="s">
        <v>21</v>
      </c>
      <c r="K176" s="18" t="s">
        <v>22</v>
      </c>
    </row>
    <row r="177">
      <c r="A177" s="11">
        <v>45869.5075450463</v>
      </c>
      <c r="B177" s="12">
        <v>106.0</v>
      </c>
      <c r="C177" s="20" t="s">
        <v>11</v>
      </c>
      <c r="D177" s="12" t="s">
        <v>12</v>
      </c>
      <c r="E177" s="12">
        <v>4.0</v>
      </c>
      <c r="F177" s="12">
        <v>4.0</v>
      </c>
      <c r="G177" s="12">
        <v>5.0</v>
      </c>
      <c r="H177" s="12">
        <v>4.0</v>
      </c>
      <c r="I177" s="12">
        <v>5.0</v>
      </c>
      <c r="J177" s="12" t="s">
        <v>21</v>
      </c>
      <c r="K177" s="14" t="s">
        <v>22</v>
      </c>
    </row>
    <row r="178">
      <c r="A178" s="7">
        <v>45869.50785618056</v>
      </c>
      <c r="B178" s="8">
        <v>116.0</v>
      </c>
      <c r="C178" s="21" t="s">
        <v>11</v>
      </c>
      <c r="D178" s="8" t="s">
        <v>15</v>
      </c>
      <c r="E178" s="8">
        <v>4.0</v>
      </c>
      <c r="F178" s="8">
        <v>4.0</v>
      </c>
      <c r="G178" s="8">
        <v>5.0</v>
      </c>
      <c r="H178" s="8">
        <v>4.0</v>
      </c>
      <c r="I178" s="8">
        <v>4.0</v>
      </c>
      <c r="J178" s="8" t="s">
        <v>21</v>
      </c>
      <c r="K178" s="18" t="s">
        <v>22</v>
      </c>
    </row>
    <row r="179">
      <c r="A179" s="11">
        <v>45871.42733586805</v>
      </c>
      <c r="B179" s="12">
        <v>2.0</v>
      </c>
      <c r="C179" s="20" t="s">
        <v>11</v>
      </c>
      <c r="D179" s="12" t="s">
        <v>15</v>
      </c>
      <c r="E179" s="12">
        <v>4.0</v>
      </c>
      <c r="F179" s="12">
        <v>5.0</v>
      </c>
      <c r="G179" s="12">
        <v>3.0</v>
      </c>
      <c r="H179" s="12">
        <v>5.0</v>
      </c>
      <c r="I179" s="12">
        <v>1.0</v>
      </c>
      <c r="J179" s="12" t="s">
        <v>37</v>
      </c>
      <c r="K179" s="10" t="s">
        <v>38</v>
      </c>
    </row>
    <row r="180">
      <c r="A180" s="7">
        <v>45871.42873695602</v>
      </c>
      <c r="B180" s="8">
        <v>8.0</v>
      </c>
      <c r="C180" s="9" t="s">
        <v>18</v>
      </c>
      <c r="E180" s="8">
        <v>4.0</v>
      </c>
      <c r="F180" s="8">
        <v>4.0</v>
      </c>
      <c r="G180" s="8">
        <v>3.0</v>
      </c>
      <c r="H180" s="8">
        <v>4.0</v>
      </c>
      <c r="I180" s="8">
        <v>4.0</v>
      </c>
      <c r="J180" s="8" t="s">
        <v>39</v>
      </c>
      <c r="K180" s="10" t="s">
        <v>38</v>
      </c>
    </row>
    <row r="181">
      <c r="A181" s="11">
        <v>45872.735153333335</v>
      </c>
      <c r="B181" s="12">
        <v>10.0</v>
      </c>
      <c r="C181" s="13" t="s">
        <v>18</v>
      </c>
      <c r="E181" s="12">
        <v>5.0</v>
      </c>
      <c r="F181" s="12">
        <v>3.0</v>
      </c>
      <c r="G181" s="12">
        <v>3.0</v>
      </c>
      <c r="H181" s="12">
        <v>4.0</v>
      </c>
      <c r="I181" s="12">
        <v>5.0</v>
      </c>
      <c r="J181" s="12" t="s">
        <v>39</v>
      </c>
      <c r="K181" s="10" t="s">
        <v>38</v>
      </c>
    </row>
    <row r="182">
      <c r="A182" s="7">
        <v>45872.735826585646</v>
      </c>
      <c r="B182" s="8">
        <v>18.0</v>
      </c>
      <c r="C182" s="9" t="s">
        <v>18</v>
      </c>
      <c r="E182" s="8">
        <v>4.0</v>
      </c>
      <c r="F182" s="8">
        <v>4.0</v>
      </c>
      <c r="G182" s="8">
        <v>3.0</v>
      </c>
      <c r="H182" s="8">
        <v>2.0</v>
      </c>
      <c r="I182" s="8">
        <v>4.0</v>
      </c>
      <c r="J182" s="8" t="s">
        <v>39</v>
      </c>
      <c r="K182" s="10" t="s">
        <v>38</v>
      </c>
    </row>
    <row r="183">
      <c r="A183" s="11">
        <v>45872.736697361106</v>
      </c>
      <c r="B183" s="12">
        <v>23.0</v>
      </c>
      <c r="C183" s="13" t="s">
        <v>11</v>
      </c>
      <c r="D183" s="12" t="s">
        <v>12</v>
      </c>
      <c r="E183" s="12">
        <v>4.0</v>
      </c>
      <c r="F183" s="12">
        <v>3.0</v>
      </c>
      <c r="G183" s="12">
        <v>4.0</v>
      </c>
      <c r="H183" s="12">
        <v>5.0</v>
      </c>
      <c r="I183" s="12">
        <v>3.0</v>
      </c>
      <c r="J183" s="12" t="s">
        <v>39</v>
      </c>
      <c r="K183" s="10" t="s">
        <v>38</v>
      </c>
    </row>
    <row r="184">
      <c r="A184" s="7">
        <v>45872.73704995371</v>
      </c>
      <c r="B184" s="8">
        <v>24.0</v>
      </c>
      <c r="C184" s="9" t="s">
        <v>11</v>
      </c>
      <c r="D184" s="8" t="s">
        <v>20</v>
      </c>
      <c r="E184" s="8">
        <v>2.0</v>
      </c>
      <c r="F184" s="8">
        <v>4.0</v>
      </c>
      <c r="G184" s="8">
        <v>3.0</v>
      </c>
      <c r="H184" s="8">
        <v>2.0</v>
      </c>
      <c r="I184" s="8">
        <v>2.0</v>
      </c>
      <c r="J184" s="8" t="s">
        <v>39</v>
      </c>
      <c r="K184" s="10" t="s">
        <v>38</v>
      </c>
    </row>
    <row r="185">
      <c r="A185" s="11">
        <v>45872.737583124996</v>
      </c>
      <c r="B185" s="12">
        <v>29.0</v>
      </c>
      <c r="C185" s="13" t="s">
        <v>18</v>
      </c>
      <c r="E185" s="12">
        <v>4.0</v>
      </c>
      <c r="F185" s="12">
        <v>2.0</v>
      </c>
      <c r="G185" s="12">
        <v>3.0</v>
      </c>
      <c r="H185" s="12">
        <v>4.0</v>
      </c>
      <c r="I185" s="12">
        <v>4.0</v>
      </c>
      <c r="J185" s="12" t="s">
        <v>39</v>
      </c>
      <c r="K185" s="10" t="s">
        <v>38</v>
      </c>
    </row>
    <row r="186">
      <c r="A186" s="7">
        <v>45872.73806833333</v>
      </c>
      <c r="B186" s="8">
        <v>44.0</v>
      </c>
      <c r="C186" s="21" t="s">
        <v>11</v>
      </c>
      <c r="D186" s="8" t="s">
        <v>15</v>
      </c>
      <c r="E186" s="8">
        <v>4.0</v>
      </c>
      <c r="F186" s="8">
        <v>4.0</v>
      </c>
      <c r="G186" s="8">
        <v>3.0</v>
      </c>
      <c r="H186" s="8">
        <v>5.0</v>
      </c>
      <c r="I186" s="8">
        <v>1.0</v>
      </c>
      <c r="J186" s="8" t="s">
        <v>39</v>
      </c>
      <c r="K186" s="10" t="s">
        <v>38</v>
      </c>
    </row>
    <row r="187">
      <c r="A187" s="11">
        <v>45872.738653981476</v>
      </c>
      <c r="B187" s="12">
        <v>45.0</v>
      </c>
      <c r="C187" s="13" t="s">
        <v>18</v>
      </c>
      <c r="E187" s="12">
        <v>4.0</v>
      </c>
      <c r="F187" s="12">
        <v>5.0</v>
      </c>
      <c r="G187" s="12">
        <v>3.0</v>
      </c>
      <c r="H187" s="12">
        <v>4.0</v>
      </c>
      <c r="I187" s="12">
        <v>4.0</v>
      </c>
      <c r="J187" s="12" t="s">
        <v>39</v>
      </c>
      <c r="K187" s="10" t="s">
        <v>38</v>
      </c>
    </row>
    <row r="188">
      <c r="A188" s="7">
        <v>45872.73907841435</v>
      </c>
      <c r="B188" s="8">
        <v>49.0</v>
      </c>
      <c r="C188" s="9" t="s">
        <v>18</v>
      </c>
      <c r="E188" s="8">
        <v>5.0</v>
      </c>
      <c r="F188" s="8">
        <v>5.0</v>
      </c>
      <c r="G188" s="8">
        <v>4.0</v>
      </c>
      <c r="H188" s="8">
        <v>5.0</v>
      </c>
      <c r="I188" s="8">
        <v>3.0</v>
      </c>
      <c r="J188" s="8" t="s">
        <v>39</v>
      </c>
      <c r="K188" s="10" t="s">
        <v>38</v>
      </c>
    </row>
    <row r="189">
      <c r="A189" s="11">
        <v>45872.739795497684</v>
      </c>
      <c r="B189" s="12">
        <v>55.0</v>
      </c>
      <c r="C189" s="20" t="s">
        <v>11</v>
      </c>
      <c r="D189" s="12" t="s">
        <v>15</v>
      </c>
      <c r="E189" s="12">
        <v>4.0</v>
      </c>
      <c r="F189" s="12">
        <v>5.0</v>
      </c>
      <c r="G189" s="12">
        <v>4.0</v>
      </c>
      <c r="H189" s="12">
        <v>4.0</v>
      </c>
      <c r="I189" s="12">
        <v>2.0</v>
      </c>
      <c r="J189" s="12" t="s">
        <v>37</v>
      </c>
      <c r="K189" s="10" t="s">
        <v>38</v>
      </c>
    </row>
    <row r="190">
      <c r="A190" s="7">
        <v>45872.74027081019</v>
      </c>
      <c r="B190" s="8">
        <v>63.0</v>
      </c>
      <c r="C190" s="9" t="s">
        <v>11</v>
      </c>
      <c r="D190" s="8" t="s">
        <v>12</v>
      </c>
      <c r="E190" s="8">
        <v>5.0</v>
      </c>
      <c r="F190" s="8">
        <v>4.0</v>
      </c>
      <c r="G190" s="8">
        <v>4.0</v>
      </c>
      <c r="H190" s="8">
        <v>3.0</v>
      </c>
      <c r="I190" s="8">
        <v>4.0</v>
      </c>
      <c r="J190" s="8" t="s">
        <v>39</v>
      </c>
      <c r="K190" s="10" t="s">
        <v>38</v>
      </c>
    </row>
    <row r="191">
      <c r="A191" s="11">
        <v>45872.740750937504</v>
      </c>
      <c r="B191" s="12">
        <v>71.0</v>
      </c>
      <c r="C191" s="13" t="s">
        <v>18</v>
      </c>
      <c r="E191" s="12">
        <v>4.0</v>
      </c>
      <c r="F191" s="12">
        <v>4.0</v>
      </c>
      <c r="G191" s="12">
        <v>3.0</v>
      </c>
      <c r="H191" s="12">
        <v>3.0</v>
      </c>
      <c r="I191" s="12">
        <v>2.0</v>
      </c>
      <c r="J191" s="12" t="s">
        <v>39</v>
      </c>
      <c r="K191" s="10" t="s">
        <v>38</v>
      </c>
    </row>
    <row r="192">
      <c r="A192" s="7">
        <v>45872.741592060185</v>
      </c>
      <c r="B192" s="8">
        <v>80.0</v>
      </c>
      <c r="C192" s="9" t="s">
        <v>18</v>
      </c>
      <c r="E192" s="8">
        <v>3.0</v>
      </c>
      <c r="F192" s="8">
        <v>4.0</v>
      </c>
      <c r="G192" s="8">
        <v>4.0</v>
      </c>
      <c r="H192" s="8">
        <v>3.0</v>
      </c>
      <c r="I192" s="8">
        <v>3.0</v>
      </c>
      <c r="J192" s="8" t="s">
        <v>39</v>
      </c>
      <c r="K192" s="10" t="s">
        <v>38</v>
      </c>
    </row>
    <row r="193">
      <c r="A193" s="11">
        <v>45872.74376993056</v>
      </c>
      <c r="B193" s="12">
        <v>86.0</v>
      </c>
      <c r="C193" s="13" t="s">
        <v>18</v>
      </c>
      <c r="E193" s="12">
        <v>3.0</v>
      </c>
      <c r="F193" s="12">
        <v>4.0</v>
      </c>
      <c r="G193" s="12">
        <v>3.0</v>
      </c>
      <c r="H193" s="12">
        <v>4.0</v>
      </c>
      <c r="I193" s="12">
        <v>4.0</v>
      </c>
      <c r="J193" s="12" t="s">
        <v>39</v>
      </c>
      <c r="K193" s="10" t="s">
        <v>38</v>
      </c>
    </row>
    <row r="194">
      <c r="A194" s="7">
        <v>45872.74428623843</v>
      </c>
      <c r="B194" s="8">
        <v>91.0</v>
      </c>
      <c r="C194" s="9" t="s">
        <v>18</v>
      </c>
      <c r="E194" s="8">
        <v>3.0</v>
      </c>
      <c r="F194" s="8">
        <v>3.0</v>
      </c>
      <c r="G194" s="8">
        <v>4.0</v>
      </c>
      <c r="H194" s="8">
        <v>3.0</v>
      </c>
      <c r="I194" s="8">
        <v>4.0</v>
      </c>
      <c r="J194" s="8" t="s">
        <v>39</v>
      </c>
      <c r="K194" s="10" t="s">
        <v>38</v>
      </c>
    </row>
    <row r="195">
      <c r="A195" s="11">
        <v>45872.74611306713</v>
      </c>
      <c r="B195" s="12">
        <v>92.0</v>
      </c>
      <c r="C195" s="20" t="s">
        <v>11</v>
      </c>
      <c r="D195" s="12" t="s">
        <v>15</v>
      </c>
      <c r="E195" s="12">
        <v>4.0</v>
      </c>
      <c r="F195" s="12">
        <v>4.0</v>
      </c>
      <c r="G195" s="12">
        <v>5.0</v>
      </c>
      <c r="H195" s="12">
        <v>5.0</v>
      </c>
      <c r="I195" s="12">
        <v>4.0</v>
      </c>
      <c r="J195" s="12" t="s">
        <v>39</v>
      </c>
      <c r="K195" s="10" t="s">
        <v>38</v>
      </c>
    </row>
    <row r="196">
      <c r="A196" s="7">
        <v>45872.748949872686</v>
      </c>
      <c r="B196" s="8">
        <v>98.0</v>
      </c>
      <c r="C196" s="9" t="s">
        <v>18</v>
      </c>
      <c r="E196" s="8">
        <v>4.0</v>
      </c>
      <c r="F196" s="8">
        <v>5.0</v>
      </c>
      <c r="G196" s="8">
        <v>4.0</v>
      </c>
      <c r="H196" s="8">
        <v>4.0</v>
      </c>
      <c r="I196" s="8">
        <v>5.0</v>
      </c>
      <c r="J196" s="8" t="s">
        <v>39</v>
      </c>
      <c r="K196" s="10" t="s">
        <v>38</v>
      </c>
    </row>
    <row r="197">
      <c r="A197" s="11">
        <v>45872.75136658565</v>
      </c>
      <c r="B197" s="12">
        <v>105.0</v>
      </c>
      <c r="C197" s="20" t="s">
        <v>11</v>
      </c>
      <c r="D197" s="12" t="s">
        <v>12</v>
      </c>
      <c r="E197" s="12">
        <v>4.0</v>
      </c>
      <c r="F197" s="12">
        <v>5.0</v>
      </c>
      <c r="G197" s="12">
        <v>4.0</v>
      </c>
      <c r="H197" s="12">
        <v>4.0</v>
      </c>
      <c r="I197" s="12">
        <v>4.0</v>
      </c>
      <c r="J197" s="12" t="s">
        <v>37</v>
      </c>
      <c r="K197" s="10" t="s">
        <v>38</v>
      </c>
    </row>
    <row r="198">
      <c r="A198" s="7">
        <v>45872.75229916666</v>
      </c>
      <c r="B198" s="8">
        <v>107.0</v>
      </c>
      <c r="C198" s="9" t="s">
        <v>18</v>
      </c>
      <c r="E198" s="8">
        <v>4.0</v>
      </c>
      <c r="F198" s="8">
        <v>4.0</v>
      </c>
      <c r="G198" s="8">
        <v>3.0</v>
      </c>
      <c r="H198" s="8">
        <v>5.0</v>
      </c>
      <c r="I198" s="8">
        <v>4.0</v>
      </c>
      <c r="J198" s="8" t="s">
        <v>39</v>
      </c>
      <c r="K198" s="10" t="s">
        <v>38</v>
      </c>
    </row>
    <row r="199">
      <c r="A199" s="11">
        <v>45872.75299673611</v>
      </c>
      <c r="B199" s="12">
        <v>113.0</v>
      </c>
      <c r="C199" s="20" t="s">
        <v>11</v>
      </c>
      <c r="D199" s="12" t="s">
        <v>12</v>
      </c>
      <c r="E199" s="12">
        <v>4.0</v>
      </c>
      <c r="F199" s="12">
        <v>4.0</v>
      </c>
      <c r="G199" s="12">
        <v>4.0</v>
      </c>
      <c r="H199" s="12">
        <v>5.0</v>
      </c>
      <c r="I199" s="12">
        <v>4.0</v>
      </c>
      <c r="J199" s="12" t="s">
        <v>39</v>
      </c>
      <c r="K199" s="10" t="s">
        <v>38</v>
      </c>
    </row>
    <row r="200">
      <c r="A200" s="7">
        <v>45872.75440535879</v>
      </c>
      <c r="B200" s="8">
        <v>114.0</v>
      </c>
      <c r="C200" s="9" t="s">
        <v>18</v>
      </c>
      <c r="E200" s="8">
        <v>4.0</v>
      </c>
      <c r="F200" s="8">
        <v>4.0</v>
      </c>
      <c r="G200" s="8">
        <v>4.0</v>
      </c>
      <c r="H200" s="8">
        <v>5.0</v>
      </c>
      <c r="I200" s="8">
        <v>4.0</v>
      </c>
      <c r="J200" s="8" t="s">
        <v>39</v>
      </c>
      <c r="K200" s="10" t="s">
        <v>38</v>
      </c>
    </row>
    <row r="201">
      <c r="A201" s="11">
        <v>45872.75506012731</v>
      </c>
      <c r="B201" s="12">
        <v>118.0</v>
      </c>
      <c r="C201" s="13" t="s">
        <v>18</v>
      </c>
      <c r="E201" s="12">
        <v>4.0</v>
      </c>
      <c r="F201" s="12">
        <v>4.0</v>
      </c>
      <c r="G201" s="12">
        <v>3.0</v>
      </c>
      <c r="H201" s="12">
        <v>3.0</v>
      </c>
      <c r="I201" s="12">
        <v>4.0</v>
      </c>
      <c r="J201" s="12" t="s">
        <v>39</v>
      </c>
      <c r="K201" s="10" t="s">
        <v>38</v>
      </c>
    </row>
    <row r="202">
      <c r="A202" s="7">
        <v>45872.755682118055</v>
      </c>
      <c r="B202" s="8">
        <v>120.0</v>
      </c>
      <c r="C202" s="9" t="s">
        <v>18</v>
      </c>
      <c r="E202" s="8">
        <v>4.0</v>
      </c>
      <c r="F202" s="8">
        <v>5.0</v>
      </c>
      <c r="G202" s="8">
        <v>4.0</v>
      </c>
      <c r="H202" s="8">
        <v>3.0</v>
      </c>
      <c r="I202" s="8">
        <v>4.0</v>
      </c>
      <c r="J202" s="8" t="s">
        <v>39</v>
      </c>
      <c r="K202" s="10" t="s">
        <v>38</v>
      </c>
    </row>
    <row r="203">
      <c r="A203" s="11">
        <v>45873.402020277776</v>
      </c>
      <c r="B203" s="12">
        <v>1.0</v>
      </c>
      <c r="C203" s="13" t="s">
        <v>11</v>
      </c>
      <c r="D203" s="12" t="s">
        <v>12</v>
      </c>
      <c r="E203" s="12">
        <v>3.0</v>
      </c>
      <c r="F203" s="12">
        <v>4.0</v>
      </c>
      <c r="G203" s="12">
        <v>2.0</v>
      </c>
      <c r="H203" s="12">
        <v>3.0</v>
      </c>
      <c r="I203" s="12">
        <v>3.0</v>
      </c>
      <c r="J203" s="12" t="s">
        <v>40</v>
      </c>
      <c r="K203" s="10" t="s">
        <v>41</v>
      </c>
    </row>
    <row r="204">
      <c r="A204" s="7">
        <v>45873.4045084838</v>
      </c>
      <c r="B204" s="8">
        <v>4.0</v>
      </c>
      <c r="C204" s="9" t="s">
        <v>18</v>
      </c>
      <c r="E204" s="8">
        <v>5.0</v>
      </c>
      <c r="F204" s="8">
        <v>5.0</v>
      </c>
      <c r="G204" s="8">
        <v>4.0</v>
      </c>
      <c r="H204" s="8">
        <v>5.0</v>
      </c>
      <c r="I204" s="8">
        <v>4.0</v>
      </c>
      <c r="J204" s="8" t="s">
        <v>40</v>
      </c>
      <c r="K204" s="10" t="s">
        <v>41</v>
      </c>
    </row>
    <row r="205">
      <c r="A205" s="11">
        <v>45873.40612555556</v>
      </c>
      <c r="B205" s="12">
        <v>10.0</v>
      </c>
      <c r="C205" s="13" t="s">
        <v>18</v>
      </c>
      <c r="E205" s="12">
        <v>4.0</v>
      </c>
      <c r="F205" s="12">
        <v>4.0</v>
      </c>
      <c r="G205" s="12">
        <v>5.0</v>
      </c>
      <c r="H205" s="12">
        <v>5.0</v>
      </c>
      <c r="I205" s="12">
        <v>3.0</v>
      </c>
      <c r="J205" s="12" t="s">
        <v>40</v>
      </c>
      <c r="K205" s="10" t="s">
        <v>41</v>
      </c>
    </row>
    <row r="206">
      <c r="A206" s="7">
        <v>45873.408288900464</v>
      </c>
      <c r="B206" s="8">
        <v>14.0</v>
      </c>
      <c r="C206" s="9" t="s">
        <v>11</v>
      </c>
      <c r="D206" s="8" t="s">
        <v>15</v>
      </c>
      <c r="E206" s="8">
        <v>3.0</v>
      </c>
      <c r="F206" s="8">
        <v>2.0</v>
      </c>
      <c r="G206" s="8">
        <v>1.0</v>
      </c>
      <c r="H206" s="8">
        <v>3.0</v>
      </c>
      <c r="I206" s="8">
        <v>1.0</v>
      </c>
      <c r="J206" s="8" t="s">
        <v>40</v>
      </c>
      <c r="K206" s="10" t="s">
        <v>41</v>
      </c>
    </row>
    <row r="207">
      <c r="A207" s="11">
        <v>45873.41005189814</v>
      </c>
      <c r="B207" s="12">
        <v>16.0</v>
      </c>
      <c r="C207" s="13" t="s">
        <v>18</v>
      </c>
      <c r="E207" s="12">
        <v>3.0</v>
      </c>
      <c r="F207" s="12">
        <v>1.0</v>
      </c>
      <c r="G207" s="12">
        <v>2.0</v>
      </c>
      <c r="H207" s="12">
        <v>2.0</v>
      </c>
      <c r="I207" s="12">
        <v>3.0</v>
      </c>
      <c r="J207" s="12" t="s">
        <v>40</v>
      </c>
      <c r="K207" s="10" t="s">
        <v>41</v>
      </c>
    </row>
    <row r="208">
      <c r="A208" s="7">
        <v>45873.593039618056</v>
      </c>
      <c r="B208" s="8">
        <v>18.0</v>
      </c>
      <c r="C208" s="9" t="s">
        <v>18</v>
      </c>
      <c r="E208" s="8">
        <v>3.0</v>
      </c>
      <c r="F208" s="8">
        <v>2.0</v>
      </c>
      <c r="G208" s="8">
        <v>3.0</v>
      </c>
      <c r="H208" s="8">
        <v>2.0</v>
      </c>
      <c r="I208" s="8">
        <v>2.0</v>
      </c>
      <c r="J208" s="8" t="s">
        <v>40</v>
      </c>
      <c r="K208" s="10" t="s">
        <v>41</v>
      </c>
    </row>
    <row r="209">
      <c r="A209" s="11">
        <v>45873.59504876158</v>
      </c>
      <c r="B209" s="12">
        <v>27.0</v>
      </c>
      <c r="C209" s="13" t="s">
        <v>11</v>
      </c>
      <c r="D209" s="12" t="s">
        <v>20</v>
      </c>
      <c r="E209" s="12">
        <v>4.0</v>
      </c>
      <c r="F209" s="12">
        <v>5.0</v>
      </c>
      <c r="G209" s="12">
        <v>4.0</v>
      </c>
      <c r="H209" s="12">
        <v>5.0</v>
      </c>
      <c r="I209" s="12">
        <v>3.0</v>
      </c>
      <c r="J209" s="12" t="s">
        <v>40</v>
      </c>
      <c r="K209" s="10" t="s">
        <v>41</v>
      </c>
    </row>
    <row r="210">
      <c r="A210" s="7">
        <v>45873.596180243054</v>
      </c>
      <c r="B210" s="8">
        <v>39.0</v>
      </c>
      <c r="C210" s="9" t="s">
        <v>18</v>
      </c>
      <c r="E210" s="8">
        <v>1.0</v>
      </c>
      <c r="F210" s="8">
        <v>2.0</v>
      </c>
      <c r="G210" s="8">
        <v>2.0</v>
      </c>
      <c r="H210" s="8">
        <v>1.0</v>
      </c>
      <c r="I210" s="8">
        <v>2.0</v>
      </c>
      <c r="J210" s="8" t="s">
        <v>40</v>
      </c>
      <c r="K210" s="10" t="s">
        <v>41</v>
      </c>
    </row>
    <row r="211">
      <c r="A211" s="11">
        <v>45873.59736442129</v>
      </c>
      <c r="B211" s="12">
        <v>43.0</v>
      </c>
      <c r="C211" s="13" t="s">
        <v>18</v>
      </c>
      <c r="E211" s="12">
        <v>4.0</v>
      </c>
      <c r="F211" s="12">
        <v>4.0</v>
      </c>
      <c r="G211" s="12">
        <v>3.0</v>
      </c>
      <c r="H211" s="12">
        <v>4.0</v>
      </c>
      <c r="I211" s="12">
        <v>5.0</v>
      </c>
      <c r="J211" s="12" t="s">
        <v>40</v>
      </c>
      <c r="K211" s="10" t="s">
        <v>41</v>
      </c>
    </row>
    <row r="212">
      <c r="A212" s="7">
        <v>45873.59849478009</v>
      </c>
      <c r="B212" s="8">
        <v>44.0</v>
      </c>
      <c r="C212" s="21" t="s">
        <v>11</v>
      </c>
      <c r="D212" s="8" t="s">
        <v>15</v>
      </c>
      <c r="E212" s="8">
        <v>3.0</v>
      </c>
      <c r="F212" s="8">
        <v>2.0</v>
      </c>
      <c r="G212" s="8">
        <v>3.0</v>
      </c>
      <c r="H212" s="8">
        <v>2.0</v>
      </c>
      <c r="I212" s="8">
        <v>3.0</v>
      </c>
      <c r="J212" s="8" t="s">
        <v>40</v>
      </c>
      <c r="K212" s="10" t="s">
        <v>41</v>
      </c>
    </row>
    <row r="213">
      <c r="A213" s="11">
        <v>45873.74321351852</v>
      </c>
      <c r="B213" s="12">
        <v>49.0</v>
      </c>
      <c r="C213" s="13" t="s">
        <v>18</v>
      </c>
      <c r="E213" s="12">
        <v>4.0</v>
      </c>
      <c r="F213" s="12">
        <v>5.0</v>
      </c>
      <c r="G213" s="12">
        <v>4.0</v>
      </c>
      <c r="H213" s="12">
        <v>5.0</v>
      </c>
      <c r="I213" s="12">
        <v>3.0</v>
      </c>
      <c r="J213" s="12" t="s">
        <v>40</v>
      </c>
      <c r="K213" s="10" t="s">
        <v>41</v>
      </c>
    </row>
    <row r="214">
      <c r="A214" s="7">
        <v>45873.74410876157</v>
      </c>
      <c r="B214" s="8">
        <v>58.0</v>
      </c>
      <c r="C214" s="21" t="s">
        <v>11</v>
      </c>
      <c r="D214" s="8" t="s">
        <v>12</v>
      </c>
      <c r="E214" s="8">
        <v>3.0</v>
      </c>
      <c r="F214" s="8">
        <v>3.0</v>
      </c>
      <c r="G214" s="8">
        <v>2.0</v>
      </c>
      <c r="H214" s="8">
        <v>3.0</v>
      </c>
      <c r="I214" s="8">
        <v>2.0</v>
      </c>
      <c r="J214" s="8" t="s">
        <v>40</v>
      </c>
      <c r="K214" s="10" t="s">
        <v>41</v>
      </c>
    </row>
    <row r="215">
      <c r="A215" s="11">
        <v>45873.74522055556</v>
      </c>
      <c r="B215" s="12">
        <v>69.0</v>
      </c>
      <c r="C215" s="13" t="s">
        <v>18</v>
      </c>
      <c r="E215" s="12">
        <v>5.0</v>
      </c>
      <c r="F215" s="12">
        <v>4.0</v>
      </c>
      <c r="G215" s="12">
        <v>5.0</v>
      </c>
      <c r="H215" s="12">
        <v>5.0</v>
      </c>
      <c r="I215" s="12">
        <v>3.0</v>
      </c>
      <c r="J215" s="12" t="s">
        <v>40</v>
      </c>
      <c r="K215" s="10" t="s">
        <v>41</v>
      </c>
    </row>
    <row r="216">
      <c r="A216" s="7">
        <v>45873.746217673615</v>
      </c>
      <c r="B216" s="8">
        <v>71.0</v>
      </c>
      <c r="C216" s="9" t="s">
        <v>18</v>
      </c>
      <c r="E216" s="8">
        <v>4.0</v>
      </c>
      <c r="F216" s="8">
        <v>3.0</v>
      </c>
      <c r="G216" s="8">
        <v>4.0</v>
      </c>
      <c r="H216" s="8">
        <v>3.0</v>
      </c>
      <c r="I216" s="8">
        <v>2.0</v>
      </c>
      <c r="J216" s="8" t="s">
        <v>40</v>
      </c>
      <c r="K216" s="10" t="s">
        <v>41</v>
      </c>
    </row>
    <row r="217">
      <c r="A217" s="11">
        <v>45873.74709556713</v>
      </c>
      <c r="B217" s="12">
        <v>72.0</v>
      </c>
      <c r="C217" s="13" t="s">
        <v>18</v>
      </c>
      <c r="E217" s="12">
        <v>4.0</v>
      </c>
      <c r="F217" s="12">
        <v>3.0</v>
      </c>
      <c r="G217" s="12">
        <v>4.0</v>
      </c>
      <c r="H217" s="12">
        <v>5.0</v>
      </c>
      <c r="I217" s="12">
        <v>4.0</v>
      </c>
      <c r="J217" s="12" t="s">
        <v>40</v>
      </c>
      <c r="K217" s="10" t="s">
        <v>41</v>
      </c>
    </row>
    <row r="218">
      <c r="A218" s="7">
        <v>45873.7479512963</v>
      </c>
      <c r="B218" s="8">
        <v>76.0</v>
      </c>
      <c r="C218" s="21" t="s">
        <v>11</v>
      </c>
      <c r="D218" s="8" t="s">
        <v>20</v>
      </c>
      <c r="E218" s="8">
        <v>2.0</v>
      </c>
      <c r="F218" s="8">
        <v>3.0</v>
      </c>
      <c r="G218" s="8">
        <v>2.0</v>
      </c>
      <c r="H218" s="8">
        <v>2.0</v>
      </c>
      <c r="I218" s="8">
        <v>3.0</v>
      </c>
      <c r="J218" s="8" t="s">
        <v>40</v>
      </c>
      <c r="K218" s="10" t="s">
        <v>41</v>
      </c>
    </row>
    <row r="219">
      <c r="A219" s="11">
        <v>45873.74894320602</v>
      </c>
      <c r="B219" s="12">
        <v>78.0</v>
      </c>
      <c r="C219" s="13" t="s">
        <v>18</v>
      </c>
      <c r="E219" s="12">
        <v>3.0</v>
      </c>
      <c r="F219" s="12">
        <v>3.0</v>
      </c>
      <c r="G219" s="12">
        <v>2.0</v>
      </c>
      <c r="H219" s="12">
        <v>2.0</v>
      </c>
      <c r="I219" s="12">
        <v>1.0</v>
      </c>
      <c r="J219" s="12" t="s">
        <v>40</v>
      </c>
      <c r="K219" s="10" t="s">
        <v>41</v>
      </c>
    </row>
    <row r="220">
      <c r="A220" s="7">
        <v>45873.750258078704</v>
      </c>
      <c r="B220" s="8">
        <v>86.0</v>
      </c>
      <c r="C220" s="9" t="s">
        <v>18</v>
      </c>
      <c r="E220" s="8">
        <v>3.0</v>
      </c>
      <c r="F220" s="8">
        <v>2.0</v>
      </c>
      <c r="G220" s="8">
        <v>3.0</v>
      </c>
      <c r="H220" s="8">
        <v>2.0</v>
      </c>
      <c r="I220" s="8">
        <v>3.0</v>
      </c>
      <c r="J220" s="8" t="s">
        <v>40</v>
      </c>
      <c r="K220" s="10" t="s">
        <v>41</v>
      </c>
    </row>
    <row r="221">
      <c r="A221" s="11">
        <v>45873.751068530095</v>
      </c>
      <c r="B221" s="12">
        <v>96.0</v>
      </c>
      <c r="C221" s="13" t="s">
        <v>18</v>
      </c>
      <c r="E221" s="12">
        <v>3.0</v>
      </c>
      <c r="F221" s="12">
        <v>2.0</v>
      </c>
      <c r="G221" s="12">
        <v>3.0</v>
      </c>
      <c r="H221" s="12">
        <v>2.0</v>
      </c>
      <c r="I221" s="12">
        <v>4.0</v>
      </c>
      <c r="J221" s="12" t="s">
        <v>40</v>
      </c>
      <c r="K221" s="10" t="s">
        <v>41</v>
      </c>
    </row>
    <row r="222">
      <c r="A222" s="7">
        <v>45873.75190649305</v>
      </c>
      <c r="B222" s="8">
        <v>101.0</v>
      </c>
      <c r="C222" s="21" t="s">
        <v>11</v>
      </c>
      <c r="D222" s="8" t="s">
        <v>15</v>
      </c>
      <c r="E222" s="8">
        <v>3.0</v>
      </c>
      <c r="F222" s="8">
        <v>3.0</v>
      </c>
      <c r="G222" s="8">
        <v>2.0</v>
      </c>
      <c r="H222" s="8">
        <v>3.0</v>
      </c>
      <c r="I222" s="8">
        <v>2.0</v>
      </c>
      <c r="J222" s="8" t="s">
        <v>40</v>
      </c>
      <c r="K222" s="10" t="s">
        <v>41</v>
      </c>
    </row>
    <row r="223">
      <c r="A223" s="11">
        <v>45873.75288126158</v>
      </c>
      <c r="B223" s="12">
        <v>107.0</v>
      </c>
      <c r="C223" s="13" t="s">
        <v>18</v>
      </c>
      <c r="E223" s="12">
        <v>4.0</v>
      </c>
      <c r="F223" s="12">
        <v>3.0</v>
      </c>
      <c r="G223" s="12">
        <v>2.0</v>
      </c>
      <c r="H223" s="12">
        <v>3.0</v>
      </c>
      <c r="I223" s="12">
        <v>3.0</v>
      </c>
      <c r="J223" s="12" t="s">
        <v>40</v>
      </c>
      <c r="K223" s="10" t="s">
        <v>41</v>
      </c>
    </row>
    <row r="224">
      <c r="A224" s="7">
        <v>45873.75373067129</v>
      </c>
      <c r="B224" s="8">
        <v>111.0</v>
      </c>
      <c r="C224" s="21" t="s">
        <v>11</v>
      </c>
      <c r="D224" s="8" t="s">
        <v>12</v>
      </c>
      <c r="E224" s="8">
        <v>3.0</v>
      </c>
      <c r="F224" s="8">
        <v>2.0</v>
      </c>
      <c r="G224" s="8">
        <v>3.0</v>
      </c>
      <c r="H224" s="8">
        <v>2.0</v>
      </c>
      <c r="I224" s="8">
        <v>2.0</v>
      </c>
      <c r="J224" s="8" t="s">
        <v>40</v>
      </c>
      <c r="K224" s="10" t="s">
        <v>41</v>
      </c>
    </row>
    <row r="225">
      <c r="A225" s="11">
        <v>45873.7548322338</v>
      </c>
      <c r="B225" s="12">
        <v>112.0</v>
      </c>
      <c r="C225" s="13" t="s">
        <v>18</v>
      </c>
      <c r="E225" s="12">
        <v>3.0</v>
      </c>
      <c r="F225" s="12">
        <v>2.0</v>
      </c>
      <c r="G225" s="12">
        <v>3.0</v>
      </c>
      <c r="H225" s="12">
        <v>3.0</v>
      </c>
      <c r="I225" s="12">
        <v>3.0</v>
      </c>
      <c r="J225" s="12" t="s">
        <v>40</v>
      </c>
      <c r="K225" s="10" t="s">
        <v>41</v>
      </c>
    </row>
    <row r="226">
      <c r="A226" s="7">
        <v>45873.75552872685</v>
      </c>
      <c r="B226" s="8">
        <v>117.0</v>
      </c>
      <c r="C226" s="9" t="s">
        <v>18</v>
      </c>
      <c r="E226" s="8">
        <v>2.0</v>
      </c>
      <c r="F226" s="8">
        <v>2.0</v>
      </c>
      <c r="G226" s="8">
        <v>3.0</v>
      </c>
      <c r="H226" s="8">
        <v>2.0</v>
      </c>
      <c r="I226" s="8">
        <v>2.0</v>
      </c>
      <c r="J226" s="8" t="s">
        <v>40</v>
      </c>
      <c r="K226" s="10" t="s">
        <v>41</v>
      </c>
    </row>
    <row r="227">
      <c r="A227" s="11">
        <v>45873.75650679399</v>
      </c>
      <c r="B227" s="12">
        <v>123.0</v>
      </c>
      <c r="C227" s="13" t="s">
        <v>18</v>
      </c>
      <c r="E227" s="12">
        <v>4.0</v>
      </c>
      <c r="F227" s="12">
        <v>2.0</v>
      </c>
      <c r="G227" s="12">
        <v>2.0</v>
      </c>
      <c r="H227" s="12">
        <v>3.0</v>
      </c>
      <c r="I227" s="12">
        <v>4.0</v>
      </c>
      <c r="J227" s="12" t="s">
        <v>40</v>
      </c>
      <c r="K227" s="10" t="s">
        <v>41</v>
      </c>
    </row>
    <row r="228">
      <c r="A228" s="7">
        <v>45873.75725415509</v>
      </c>
      <c r="B228" s="8">
        <v>128.0</v>
      </c>
      <c r="C228" s="9" t="s">
        <v>18</v>
      </c>
      <c r="E228" s="8">
        <v>3.0</v>
      </c>
      <c r="F228" s="8">
        <v>3.0</v>
      </c>
      <c r="G228" s="8">
        <v>2.0</v>
      </c>
      <c r="H228" s="8">
        <v>3.0</v>
      </c>
      <c r="I228" s="8">
        <v>2.0</v>
      </c>
      <c r="J228" s="8" t="s">
        <v>40</v>
      </c>
      <c r="K228" s="10" t="s">
        <v>41</v>
      </c>
    </row>
    <row r="229">
      <c r="A229" s="11">
        <v>45873.75844060185</v>
      </c>
      <c r="B229" s="12">
        <v>131.0</v>
      </c>
      <c r="C229" s="13" t="s">
        <v>18</v>
      </c>
      <c r="E229" s="12">
        <v>3.0</v>
      </c>
      <c r="F229" s="12">
        <v>2.0</v>
      </c>
      <c r="G229" s="12">
        <v>3.0</v>
      </c>
      <c r="H229" s="12">
        <v>2.0</v>
      </c>
      <c r="I229" s="12">
        <v>2.0</v>
      </c>
      <c r="J229" s="12" t="s">
        <v>40</v>
      </c>
      <c r="K229" s="10" t="s">
        <v>41</v>
      </c>
    </row>
    <row r="230">
      <c r="A230" s="23">
        <v>45873.75920306713</v>
      </c>
      <c r="B230" s="24">
        <v>134.0</v>
      </c>
      <c r="C230" s="25" t="s">
        <v>18</v>
      </c>
      <c r="E230" s="24">
        <v>2.0</v>
      </c>
      <c r="F230" s="24">
        <v>3.0</v>
      </c>
      <c r="G230" s="24">
        <v>2.0</v>
      </c>
      <c r="H230" s="24">
        <v>3.0</v>
      </c>
      <c r="I230" s="24">
        <v>1.0</v>
      </c>
      <c r="J230" s="24" t="s">
        <v>40</v>
      </c>
      <c r="K230" s="26" t="s">
        <v>41</v>
      </c>
    </row>
    <row r="231">
      <c r="K231" s="27"/>
    </row>
    <row r="232">
      <c r="K232" s="27"/>
    </row>
    <row r="233">
      <c r="K233" s="27"/>
    </row>
    <row r="234">
      <c r="K234" s="27"/>
    </row>
    <row r="235">
      <c r="K235" s="27"/>
    </row>
    <row r="236">
      <c r="K236" s="27"/>
    </row>
    <row r="237">
      <c r="K237" s="27"/>
    </row>
    <row r="238">
      <c r="K238" s="27"/>
    </row>
    <row r="239">
      <c r="K239" s="27"/>
    </row>
    <row r="240">
      <c r="K240" s="27"/>
    </row>
    <row r="241">
      <c r="K241" s="27"/>
    </row>
    <row r="242">
      <c r="K242" s="27"/>
    </row>
    <row r="243">
      <c r="K243" s="27"/>
    </row>
    <row r="244">
      <c r="K244" s="27"/>
    </row>
    <row r="245">
      <c r="K245" s="27"/>
    </row>
    <row r="246">
      <c r="K246" s="27"/>
    </row>
    <row r="247">
      <c r="K247" s="27"/>
    </row>
    <row r="248">
      <c r="K248" s="27"/>
    </row>
    <row r="249">
      <c r="K249" s="27"/>
    </row>
    <row r="250">
      <c r="K250" s="27"/>
    </row>
    <row r="251">
      <c r="K251" s="27"/>
    </row>
    <row r="252">
      <c r="K252" s="27"/>
    </row>
    <row r="253">
      <c r="K253" s="27"/>
    </row>
    <row r="254">
      <c r="K254" s="27"/>
    </row>
    <row r="255">
      <c r="K255" s="27"/>
    </row>
    <row r="256">
      <c r="K256" s="27"/>
    </row>
    <row r="257">
      <c r="K257" s="27"/>
    </row>
    <row r="258">
      <c r="K258" s="27"/>
    </row>
    <row r="259">
      <c r="K259" s="27"/>
    </row>
    <row r="260">
      <c r="K260" s="27"/>
    </row>
    <row r="261">
      <c r="K261" s="27"/>
    </row>
    <row r="262">
      <c r="K262" s="27"/>
    </row>
    <row r="263">
      <c r="K263" s="27"/>
    </row>
    <row r="264">
      <c r="K264" s="27"/>
    </row>
    <row r="265">
      <c r="K265" s="27"/>
    </row>
    <row r="266">
      <c r="K266" s="27"/>
    </row>
    <row r="267">
      <c r="K267" s="27"/>
    </row>
    <row r="268">
      <c r="K268" s="27"/>
    </row>
    <row r="269">
      <c r="K269" s="27"/>
    </row>
    <row r="270">
      <c r="K270" s="27"/>
    </row>
    <row r="271">
      <c r="K271" s="27"/>
    </row>
    <row r="272">
      <c r="K272" s="27"/>
    </row>
    <row r="273">
      <c r="K273" s="27"/>
    </row>
    <row r="274">
      <c r="K274" s="27"/>
    </row>
    <row r="275">
      <c r="K275" s="27"/>
    </row>
    <row r="276">
      <c r="K276" s="27"/>
    </row>
    <row r="277">
      <c r="K277" s="27"/>
    </row>
    <row r="278">
      <c r="K278" s="27"/>
    </row>
    <row r="279">
      <c r="K279" s="27"/>
    </row>
    <row r="280">
      <c r="K280" s="27"/>
    </row>
    <row r="281">
      <c r="K281" s="27"/>
    </row>
    <row r="282">
      <c r="K282" s="27"/>
    </row>
    <row r="283">
      <c r="K283" s="27"/>
    </row>
    <row r="284">
      <c r="K284" s="27"/>
    </row>
    <row r="285">
      <c r="K285" s="27"/>
    </row>
    <row r="286">
      <c r="K286" s="27"/>
    </row>
    <row r="287">
      <c r="K287" s="27"/>
    </row>
    <row r="288">
      <c r="K288" s="27"/>
    </row>
    <row r="289">
      <c r="K289" s="27"/>
    </row>
    <row r="290">
      <c r="K290" s="27"/>
    </row>
    <row r="291">
      <c r="K291" s="27"/>
    </row>
    <row r="292">
      <c r="K292" s="27"/>
    </row>
    <row r="293">
      <c r="K293" s="27"/>
    </row>
    <row r="294">
      <c r="K294" s="27"/>
    </row>
    <row r="295">
      <c r="K295" s="27"/>
    </row>
    <row r="296">
      <c r="K296" s="27"/>
    </row>
    <row r="297">
      <c r="K297" s="27"/>
    </row>
    <row r="298">
      <c r="K298" s="27"/>
    </row>
    <row r="299">
      <c r="K299" s="27"/>
    </row>
    <row r="300">
      <c r="K300" s="27"/>
    </row>
    <row r="301">
      <c r="K301" s="27"/>
    </row>
    <row r="302">
      <c r="K302" s="27"/>
    </row>
    <row r="303">
      <c r="K303" s="27"/>
    </row>
    <row r="304">
      <c r="K304" s="27"/>
    </row>
    <row r="305">
      <c r="K305" s="27"/>
    </row>
    <row r="306">
      <c r="K306" s="27"/>
    </row>
    <row r="307">
      <c r="K307" s="27"/>
    </row>
    <row r="308">
      <c r="K308" s="27"/>
    </row>
    <row r="309">
      <c r="K309" s="27"/>
    </row>
    <row r="310">
      <c r="K310" s="27"/>
    </row>
    <row r="311">
      <c r="K311" s="27"/>
    </row>
    <row r="312">
      <c r="K312" s="27"/>
    </row>
    <row r="313">
      <c r="K313" s="27"/>
    </row>
    <row r="314">
      <c r="K314" s="27"/>
    </row>
    <row r="315">
      <c r="K315" s="27"/>
    </row>
    <row r="316">
      <c r="K316" s="27"/>
    </row>
    <row r="317">
      <c r="K317" s="27"/>
    </row>
    <row r="318">
      <c r="K318" s="27"/>
    </row>
    <row r="319">
      <c r="K319" s="27"/>
    </row>
    <row r="320">
      <c r="K320" s="27"/>
    </row>
    <row r="321">
      <c r="K321" s="27"/>
    </row>
    <row r="322">
      <c r="K322" s="27"/>
    </row>
    <row r="323">
      <c r="K323" s="27"/>
    </row>
    <row r="324">
      <c r="K324" s="27"/>
    </row>
    <row r="325">
      <c r="K325" s="27"/>
    </row>
    <row r="326">
      <c r="K326" s="27"/>
    </row>
    <row r="327">
      <c r="K327" s="27"/>
    </row>
    <row r="328">
      <c r="K328" s="27"/>
    </row>
    <row r="329">
      <c r="K329" s="27"/>
    </row>
    <row r="330">
      <c r="K330" s="2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B1" s="28" t="s">
        <v>11</v>
      </c>
      <c r="C1" s="29"/>
      <c r="D1" s="29"/>
      <c r="E1" s="29"/>
      <c r="G1" s="30" t="s">
        <v>18</v>
      </c>
    </row>
    <row r="2">
      <c r="A2" s="31"/>
      <c r="B2" s="32" t="s">
        <v>42</v>
      </c>
      <c r="C2" s="33" t="s">
        <v>12</v>
      </c>
      <c r="D2" s="33" t="s">
        <v>15</v>
      </c>
      <c r="E2" s="33" t="s">
        <v>20</v>
      </c>
      <c r="F2" s="31"/>
      <c r="G2" s="34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5" t="s">
        <v>4</v>
      </c>
      <c r="B3" s="36">
        <f>averageif(Answers!$C:$C,$B$1,Answers!E:E)</f>
        <v>3.752293578</v>
      </c>
      <c r="C3" s="36">
        <f>AVERAGEIFS(Answers!$E:$E,Answers!$C:$C,$B$1,Answers!$D:$D,C$2)</f>
        <v>3.571428571</v>
      </c>
      <c r="D3" s="36">
        <f>AVERAGEIFS(Answers!$E:$E,Answers!$C:$C,$B$1,Answers!$D:$D,D$2)</f>
        <v>3.864864865</v>
      </c>
      <c r="E3" s="36">
        <f>AVERAGEIFS(Answers!$E:$E,Answers!$C:$C,$B$1,Answers!$D:$D,E$2)</f>
        <v>3.810810811</v>
      </c>
      <c r="G3" s="37">
        <f>averageif(Answers!C:C,$G$1,Answers!E:E)</f>
        <v>3.741666667</v>
      </c>
    </row>
    <row r="4">
      <c r="A4" s="35" t="s">
        <v>5</v>
      </c>
      <c r="B4" s="36">
        <f>averageif(Answers!$C:$C,$B$1,Answers!F:F)</f>
        <v>3.431192661</v>
      </c>
      <c r="C4" s="36">
        <f>AVERAGEIFS(Answers!$F:$F,Answers!$C:$C,$B$1,Answers!$D:$D,C$2)</f>
        <v>3.485714286</v>
      </c>
      <c r="D4" s="36">
        <f>AVERAGEIFS(Answers!$F:$F,Answers!$C:$C,$B$1,Answers!$D:$D,D$2)</f>
        <v>3.405405405</v>
      </c>
      <c r="E4" s="36">
        <f>AVERAGEIFS(Answers!$F:$F,Answers!$C:$C,$B$1,Answers!$D:$D,E$2)</f>
        <v>3.405405405</v>
      </c>
      <c r="G4" s="37">
        <f>averageif(Answers!$C:$C,$G$1,Answers!F:F)</f>
        <v>3.475</v>
      </c>
    </row>
    <row r="5">
      <c r="A5" s="35" t="s">
        <v>6</v>
      </c>
      <c r="B5" s="36">
        <f>averageif(Answers!$C:$C,$B$1,Answers!G:G)</f>
        <v>3.348623853</v>
      </c>
      <c r="C5" s="36">
        <f>AVERAGEIFS(Answers!$G:$G,Answers!$C:$C,$B$1,Answers!$D:$D,C$2)</f>
        <v>3.285714286</v>
      </c>
      <c r="D5" s="36">
        <f>AVERAGEIFS(Answers!$G:$G,Answers!$C:$C,$B$1,Answers!$D:$D,D$2)</f>
        <v>3.378378378</v>
      </c>
      <c r="E5" s="36">
        <f>AVERAGEIFS(Answers!$G:$G,Answers!$C:$C,$B$1,Answers!$D:$D,E$2)</f>
        <v>3.378378378</v>
      </c>
      <c r="G5" s="37">
        <f>averageif(Answers!$C:$C,$G$1,Answers!G:G)</f>
        <v>3.491666667</v>
      </c>
    </row>
    <row r="6">
      <c r="A6" s="35" t="s">
        <v>7</v>
      </c>
      <c r="B6" s="36">
        <f>averageif(Answers!$C:$C,$B$1,Answers!H:H)</f>
        <v>3.532110092</v>
      </c>
      <c r="C6" s="36">
        <f>AVERAGEIFS(Answers!$H:$H,Answers!$C:$C,$B$1,Answers!$D:$D,C$2)</f>
        <v>3.428571429</v>
      </c>
      <c r="D6" s="36">
        <f>AVERAGEIFS(Answers!$H:$H,Answers!$C:$C,$B$1,Answers!$D:$D,D$2)</f>
        <v>3.702702703</v>
      </c>
      <c r="E6" s="36">
        <f>AVERAGEIFS(Answers!$H:$H,Answers!$C:$C,$B$1,Answers!$D:$D,E$2)</f>
        <v>3.459459459</v>
      </c>
      <c r="G6" s="37">
        <f>averageif(Answers!$C:$C,$G$1,Answers!H:H)</f>
        <v>3.6</v>
      </c>
    </row>
    <row r="7">
      <c r="A7" s="35" t="s">
        <v>8</v>
      </c>
      <c r="B7" s="38"/>
      <c r="C7" s="39"/>
      <c r="D7" s="39"/>
      <c r="E7" s="39"/>
      <c r="F7" s="39"/>
      <c r="G7" s="38"/>
    </row>
    <row r="8">
      <c r="A8" s="40" t="s">
        <v>43</v>
      </c>
      <c r="B8" s="41">
        <f>countifs(Answers!$C:$C,$B$1,Answers!$H:$H,"&lt;3")</f>
        <v>22</v>
      </c>
      <c r="C8" s="41">
        <f>countifs(Answers!$C:$C,$B$1,Answers!$H:$H,"&lt;3",Answers!$D:$D,C$2)</f>
        <v>7</v>
      </c>
      <c r="D8" s="41">
        <f>countifs(Answers!$C:$C,$B$1,Answers!$H:$H,"&lt;3",Answers!$D:$D,D$2)</f>
        <v>5</v>
      </c>
      <c r="E8" s="41">
        <f>countifs(Answers!$C:$C,$B$1,Answers!$H:$H,"&lt;3",Answers!$D:$D,E$2)</f>
        <v>10</v>
      </c>
      <c r="G8" s="41">
        <f>countifs(Answers!$C:$C,$G$1,Answers!H:H,"&lt;3")</f>
        <v>18</v>
      </c>
    </row>
    <row r="9">
      <c r="A9" s="40" t="s">
        <v>44</v>
      </c>
      <c r="B9" s="41">
        <f>countifs(Answers!$C:$C,$B$1,Answers!$H:$H,"=3")</f>
        <v>26</v>
      </c>
      <c r="C9" s="41">
        <f>countifs(Answers!$C:$C,$B$1,Answers!$H:$H,"=3",Answers!$D:$D,C$2)</f>
        <v>9</v>
      </c>
      <c r="D9" s="41">
        <f>countifs(Answers!$C:$C,$B$1,Answers!$H:$H,"=3",Answers!$D:$D,D$2)</f>
        <v>9</v>
      </c>
      <c r="E9" s="41">
        <f>countifs(Answers!$C:$C,$B$1,Answers!$H:$H,"=3",Answers!$D:$D,E$2)</f>
        <v>8</v>
      </c>
      <c r="G9" s="41">
        <f>countifs(Answers!$C:$C,$G$1,Answers!H:H,"=3")</f>
        <v>32</v>
      </c>
    </row>
    <row r="10">
      <c r="A10" s="40" t="s">
        <v>18</v>
      </c>
      <c r="B10" s="41">
        <f>countifs(Answers!$C:$C,$B$1,Answers!$H:$H,"&gt;3")</f>
        <v>61</v>
      </c>
      <c r="C10" s="41">
        <f>countifs(Answers!$C:$C,$B$1,Answers!$H:$H,"&gt;3",Answers!$D:$D,C$2)</f>
        <v>19</v>
      </c>
      <c r="D10" s="41">
        <f>countifs(Answers!$C:$C,$B$1,Answers!$H:$H,"&gt;3",Answers!$D:$D,D$2)</f>
        <v>23</v>
      </c>
      <c r="E10" s="41">
        <f>countifs(Answers!$C:$C,$B$1,Answers!$H:$H,"&gt;3",Answers!$D:$D,E$2)</f>
        <v>19</v>
      </c>
      <c r="G10" s="41">
        <f>countifs(Answers!$C:$C,$G$1,Answers!H:H,"&gt;3")</f>
        <v>70</v>
      </c>
    </row>
    <row r="11">
      <c r="B11" s="41">
        <f>SUM(B8:B10)</f>
        <v>109</v>
      </c>
      <c r="C11" s="41">
        <f>countif(Answers!$D:$D,C$2)</f>
        <v>35</v>
      </c>
      <c r="D11" s="41">
        <f>countif(Answers!$D:$D,D$2)</f>
        <v>37</v>
      </c>
      <c r="E11" s="41">
        <f>countif(Answers!$D:$D,E$2)</f>
        <v>37</v>
      </c>
      <c r="G11" s="41">
        <f>SUM(G8:G10)</f>
        <v>120</v>
      </c>
    </row>
    <row r="13">
      <c r="A13" s="40" t="s">
        <v>43</v>
      </c>
      <c r="B13" s="42">
        <f t="shared" ref="B13:E13" si="1">B8/B$11</f>
        <v>0.2018348624</v>
      </c>
      <c r="C13" s="42">
        <f t="shared" si="1"/>
        <v>0.2</v>
      </c>
      <c r="D13" s="42">
        <f t="shared" si="1"/>
        <v>0.1351351351</v>
      </c>
      <c r="E13" s="42">
        <f t="shared" si="1"/>
        <v>0.2702702703</v>
      </c>
      <c r="G13" s="42">
        <f t="shared" ref="G13:G15" si="3">G8/G$11</f>
        <v>0.15</v>
      </c>
    </row>
    <row r="14">
      <c r="A14" s="40" t="s">
        <v>45</v>
      </c>
      <c r="B14" s="42">
        <f t="shared" ref="B14:E14" si="2">B9/B$11</f>
        <v>0.2385321101</v>
      </c>
      <c r="C14" s="42">
        <f t="shared" si="2"/>
        <v>0.2571428571</v>
      </c>
      <c r="D14" s="42">
        <f t="shared" si="2"/>
        <v>0.2432432432</v>
      </c>
      <c r="E14" s="42">
        <f t="shared" si="2"/>
        <v>0.2162162162</v>
      </c>
      <c r="G14" s="42">
        <f t="shared" si="3"/>
        <v>0.2666666667</v>
      </c>
    </row>
    <row r="15">
      <c r="A15" s="40" t="s">
        <v>18</v>
      </c>
      <c r="B15" s="42">
        <f t="shared" ref="B15:E15" si="4">B10/B$11</f>
        <v>0.5596330275</v>
      </c>
      <c r="C15" s="42">
        <f t="shared" si="4"/>
        <v>0.5428571429</v>
      </c>
      <c r="D15" s="42">
        <f t="shared" si="4"/>
        <v>0.6216216216</v>
      </c>
      <c r="E15" s="42">
        <f t="shared" si="4"/>
        <v>0.5135135135</v>
      </c>
      <c r="G15" s="42">
        <f t="shared" si="3"/>
        <v>0.5833333333</v>
      </c>
    </row>
    <row r="17">
      <c r="A17" s="43" t="s">
        <v>46</v>
      </c>
    </row>
    <row r="18">
      <c r="A18" s="43" t="s">
        <v>47</v>
      </c>
      <c r="B18" s="41">
        <f>IFERROR(__xludf.DUMMYFUNCTION("MANNWHITNEY(FILTER(Answers!E2:E230,Answers!C2:C230=""Human""), FILTER(Answers!E2:E230,Answers!C2:C230=""AI""),""p"")"),0.9761003727744906)</f>
        <v>0.9761003728</v>
      </c>
      <c r="C18" s="41">
        <f>IFERROR(__xludf.DUMMYFUNCTION("MANNWHITNEY(FILTER(Answers!$E$2:$E$230,Answers!$C$2:$C$230=""Human""), FILTER(Answers!$E$2:$E$230,Answers!$C$2:$C$230=""AI"",Answers!$D$2:$D$230=C$2),""p"")"),0.21064855842643948)</f>
        <v>0.2106485584</v>
      </c>
      <c r="D18" s="41">
        <f>IFERROR(__xludf.DUMMYFUNCTION("MANNWHITNEY(FILTER(Answers!$E$2:$E$230,Answers!$C$2:$C$230=""Human""), FILTER(Answers!$E$2:$E$230,Answers!$C$2:$C$230=""AI"",Answers!$D$2:$D$230=D$2),""p"")"),0.45534662360543665)</f>
        <v>0.4553466236</v>
      </c>
      <c r="E18" s="41">
        <f>IFERROR(__xludf.DUMMYFUNCTION("MANNWHITNEY(FILTER(Answers!$E$2:$E$230,Answers!$C$2:$C$230=""Human""), FILTER(Answers!$E$2:$E$230,Answers!$C$2:$C$230=""AI"",Answers!$D$2:$D$230=E$2),""p"")"),0.6882856246736604)</f>
        <v>0.6882856247</v>
      </c>
    </row>
    <row r="19">
      <c r="A19" s="43" t="s">
        <v>48</v>
      </c>
      <c r="B19" s="41">
        <f>IFERROR(__xludf.DUMMYFUNCTION("MANNWHITNEY(FILTER(Answers!F2:F230,Answers!C2:C230=""Human""), FILTER(Answers!F2:F230,Answers!C2:C230=""AI""),""p"")"),0.714746782907496)</f>
        <v>0.7147467829</v>
      </c>
      <c r="C19" s="41">
        <f>IFERROR(__xludf.DUMMYFUNCTION("MANNWHITNEY(FILTER(Answers!$F$2:$F$230,Answers!$C$2:$C$230=""Human""), FILTER(Answers!$F$2:$F$230,Answers!$C$2:$C$230=""AI"",Answers!$D$2:$D$230=C$2),""p"")"),0.9266887746201959)</f>
        <v>0.9266887746</v>
      </c>
      <c r="D19" s="41">
        <f>IFERROR(__xludf.DUMMYFUNCTION("MANNWHITNEY(FILTER(Answers!$F$2:$F$230,Answers!$C$2:$C$230=""Human""), FILTER(Answers!$F$2:$F$230,Answers!$C$2:$C$230=""AI"",Answers!$D$2:$D$230=D$2),""p"")"),0.8297150909507716)</f>
        <v>0.829715091</v>
      </c>
      <c r="E19" s="41">
        <f>IFERROR(__xludf.DUMMYFUNCTION("MANNWHITNEY(FILTER(Answers!$F$2:$F$230,Answers!$C$2:$C$230=""Human""), FILTER(Answers!$F$2:$F$230,Answers!$C$2:$C$230=""AI"",Answers!$D$2:$D$230=E$2),""p"")"),0.650634020700634)</f>
        <v>0.6506340207</v>
      </c>
    </row>
    <row r="20">
      <c r="A20" s="43" t="s">
        <v>49</v>
      </c>
      <c r="B20" s="41">
        <f>IFERROR(__xludf.DUMMYFUNCTION("MANNWHITNEY(FILTER(Answers!G2:G230,Answers!C2:C230=""Human""), FILTER(Answers!G2:G230,Answers!C2:C230=""AI""),""p"")"),0.3530441670276281)</f>
        <v>0.353044167</v>
      </c>
      <c r="C20" s="41">
        <f>IFERROR(__xludf.DUMMYFUNCTION("MANNWHITNEY(FILTER(Answers!$G$2:$G$230,Answers!$C$2:$C$230=""Human""), FILTER(Answers!$G$2:$G$230,Answers!$C$2:$C$230=""AI"",Answers!$D$2:$D$230=C$2),""p"")"),0.32496354798277993)</f>
        <v>0.324963548</v>
      </c>
      <c r="D20" s="41">
        <f>IFERROR(__xludf.DUMMYFUNCTION("MANNWHITNEY(FILTER(Answers!$G$2:$G$230,Answers!$C$2:$C$230=""Human""), FILTER(Answers!$G$2:$G$230,Answers!$C$2:$C$230=""AI"",Answers!$D$2:$D$230=D$2),""p"")"),0.6461728121288073)</f>
        <v>0.6461728121</v>
      </c>
      <c r="E20" s="41">
        <f>IFERROR(__xludf.DUMMYFUNCTION("MANNWHITNEY(FILTER(Answers!$G$2:$G$230,Answers!$C$2:$C$230=""Human""), FILTER(Answers!$G$2:$G$230,Answers!$C$2:$C$230=""AI"",Answers!$D$2:$D$230=E$2),""p"")"),0.6080546486191793)</f>
        <v>0.6080546486</v>
      </c>
    </row>
    <row r="21">
      <c r="A21" s="43" t="s">
        <v>50</v>
      </c>
      <c r="B21" s="41">
        <f>IFERROR(__xludf.DUMMYFUNCTION("MANNWHITNEY(FILTER(Answers!H2:H230,Answers!C2:C230=""Human""), FILTER(Answers!H2:H230,Answers!C2:C230=""AI""),""p"")"),0.6445442890922042)</f>
        <v>0.6445442891</v>
      </c>
      <c r="C21" s="41">
        <f>IFERROR(__xludf.DUMMYFUNCTION("MANNWHITNEY(FILTER(Answers!$H$2:$H$230,Answers!$C$2:$C$230=""Human""), FILTER(Answers!$H$2:$H$230,Answers!$C$2:$C$230=""AI"",Answers!$D$2:$D$230=C$2),""p"")"),0.36200252341084105)</f>
        <v>0.3620025234</v>
      </c>
      <c r="D21" s="41">
        <f>IFERROR(__xludf.DUMMYFUNCTION("MANNWHITNEY(FILTER(Answers!$H$2:$H$230,Answers!$C$2:$C$230=""Human""), FILTER(Answers!$H$2:$H$230,Answers!$C$2:$C$230=""AI"",Answers!$D$2:$D$230=D$2),""p"")"),0.6255237606082507)</f>
        <v>0.6255237606</v>
      </c>
      <c r="E21" s="41">
        <f>IFERROR(__xludf.DUMMYFUNCTION("MANNWHITNEY(FILTER(Answers!$H$2:$H$230,Answers!$C$2:$C$230=""Human""), FILTER(Answers!$H$2:$H$230,Answers!$C$2:$C$230=""AI"",Answers!$D$2:$D$230=E$2),""p"")"),0.5737868277756486)</f>
        <v>0.5737868278</v>
      </c>
    </row>
    <row r="26">
      <c r="A26" s="43" t="s">
        <v>47</v>
      </c>
      <c r="B26" s="33" t="s">
        <v>12</v>
      </c>
      <c r="C26" s="33" t="s">
        <v>15</v>
      </c>
      <c r="D26" s="33" t="s">
        <v>20</v>
      </c>
    </row>
    <row r="27">
      <c r="A27" s="33" t="s">
        <v>12</v>
      </c>
      <c r="B27" s="41">
        <f>IFERROR(__xludf.DUMMYFUNCTION("MANNWHITNEY(FILTER(Answers!$E$2:$E$230,Answers!$C$2:$C$230=""AI"",Answers!$D$2:$D$230=$A27), FILTER(Answers!$E$2:$E$230,Answers!$C$2:$C$230=""AI"",Answers!$D$2:$D$230=B$26),""p"")"),0.9999999989999999)</f>
        <v>0.999999999</v>
      </c>
      <c r="C27" s="41">
        <f>IFERROR(__xludf.DUMMYFUNCTION("MANNWHITNEY(FILTER(Answers!$E$2:$E$230,Answers!$C$2:$C$230=""AI"",Answers!$D$2:$D$230=$A27), FILTER(Answers!$E$2:$E$230,Answers!$C$2:$C$230=""AI"",Answers!$D$2:$D$230=C$26),""p"")"),0.08784140893050973)</f>
        <v>0.08784140893</v>
      </c>
      <c r="D27" s="41">
        <f>IFERROR(__xludf.DUMMYFUNCTION("MANNWHITNEY(FILTER(Answers!$E$2:$E$230,Answers!$C$2:$C$230=""AI"",Answers!$D$2:$D$230=$A27), FILTER(Answers!$E$2:$E$230,Answers!$C$2:$C$230=""AI"",Answers!$D$2:$D$230=D$26),""p"")"),0.20699809451580076)</f>
        <v>0.2069980945</v>
      </c>
    </row>
    <row r="28">
      <c r="A28" s="33" t="s">
        <v>15</v>
      </c>
      <c r="B28" s="41">
        <f>IFERROR(__xludf.DUMMYFUNCTION("MANNWHITNEY(FILTER(Answers!$E$2:$E$230,Answers!$C$2:$C$230=""AI"",Answers!$D$2:$D$230=$A28), FILTER(Answers!$E$2:$E$230,Answers!$C$2:$C$230=""AI"",Answers!$D$2:$D$230=B$26),""p"")"),0.08784140893050973)</f>
        <v>0.08784140893</v>
      </c>
      <c r="C28" s="41">
        <f>IFERROR(__xludf.DUMMYFUNCTION("MANNWHITNEY(FILTER(Answers!$E$2:$E$230,Answers!$C$2:$C$230=""AI"",Answers!$D$2:$D$230=$A28), FILTER(Answers!$E$2:$E$230,Answers!$C$2:$C$230=""AI"",Answers!$D$2:$D$230=C$26),""p"")"),0.9999999989999999)</f>
        <v>0.999999999</v>
      </c>
      <c r="D28" s="41">
        <f>IFERROR(__xludf.DUMMYFUNCTION("MANNWHITNEY(FILTER(Answers!$E$2:$E$230,Answers!$C$2:$C$230=""AI"",Answers!$D$2:$D$230=$A28), FILTER(Answers!$E$2:$E$230,Answers!$C$2:$C$230=""AI"",Answers!$D$2:$D$230=D$26),""p"")"),0.8246085289654572)</f>
        <v>0.824608529</v>
      </c>
    </row>
    <row r="29">
      <c r="A29" s="33" t="s">
        <v>20</v>
      </c>
      <c r="B29" s="41">
        <f>IFERROR(__xludf.DUMMYFUNCTION("MANNWHITNEY(FILTER(Answers!$E$2:$E$230,Answers!$C$2:$C$230=""AI"",Answers!$D$2:$D$230=$A29), FILTER(Answers!$E$2:$E$230,Answers!$C$2:$C$230=""AI"",Answers!$D$2:$D$230=B$26),""p"")"),0.20699809451580076)</f>
        <v>0.2069980945</v>
      </c>
      <c r="C29" s="41">
        <f>IFERROR(__xludf.DUMMYFUNCTION("MANNWHITNEY(FILTER(Answers!$E$2:$E$230,Answers!$C$2:$C$230=""AI"",Answers!$D$2:$D$230=$A29), FILTER(Answers!$E$2:$E$230,Answers!$C$2:$C$230=""AI"",Answers!$D$2:$D$230=C$26),""p"")"),0.8246085289654572)</f>
        <v>0.824608529</v>
      </c>
      <c r="D29" s="41">
        <f>IFERROR(__xludf.DUMMYFUNCTION("MANNWHITNEY(FILTER(Answers!$E$2:$E$230,Answers!$C$2:$C$230=""AI"",Answers!$D$2:$D$230=$A29), FILTER(Answers!$E$2:$E$230,Answers!$C$2:$C$230=""AI"",Answers!$D$2:$D$230=D$26),""p"")"),0.9999999989999999)</f>
        <v>0.999999999</v>
      </c>
    </row>
    <row r="31">
      <c r="A31" s="43" t="s">
        <v>48</v>
      </c>
      <c r="B31" s="33" t="s">
        <v>12</v>
      </c>
      <c r="C31" s="33" t="s">
        <v>15</v>
      </c>
      <c r="D31" s="33" t="s">
        <v>20</v>
      </c>
    </row>
    <row r="32">
      <c r="A32" s="33" t="s">
        <v>12</v>
      </c>
      <c r="B32" s="41">
        <f>IFERROR(__xludf.DUMMYFUNCTION("MANNWHITNEY(FILTER(Answers!$F$2:$F$230,Answers!$C$2:$C$230=""AI"",Answers!$D$2:$D$230=$A27), FILTER(Answers!$F$2:$F$230,Answers!$C$2:$C$230=""AI"",Answers!$D$2:$D$230=B$26),""p"")"),0.9999999989999999)</f>
        <v>0.999999999</v>
      </c>
      <c r="C32" s="41">
        <f>IFERROR(__xludf.DUMMYFUNCTION("MANNWHITNEY(FILTER(Answers!$F$2:$F$230,Answers!$C$2:$C$230=""AI"",Answers!$D$2:$D$230=$A27), FILTER(Answers!$F$2:$F$230,Answers!$C$2:$C$230=""AI"",Answers!$D$2:$D$230=C$26),""p"")"),0.8924539664793376)</f>
        <v>0.8924539665</v>
      </c>
      <c r="D32" s="41">
        <f>IFERROR(__xludf.DUMMYFUNCTION("MANNWHITNEY(FILTER(Answers!$F$2:$F$230,Answers!$C$2:$C$230=""AI"",Answers!$D$2:$D$230=$A27), FILTER(Answers!$F$2:$F$230,Answers!$C$2:$C$230=""AI"",Answers!$D$2:$D$230=D$26),""p"")"),0.7396131981419973)</f>
        <v>0.7396131981</v>
      </c>
    </row>
    <row r="33">
      <c r="A33" s="33" t="s">
        <v>15</v>
      </c>
      <c r="B33" s="41">
        <f>IFERROR(__xludf.DUMMYFUNCTION("MANNWHITNEY(FILTER(Answers!$F$2:$F$230,Answers!$C$2:$C$230=""AI"",Answers!$D$2:$D$230=$A28), FILTER(Answers!$F$2:$F$230,Answers!$C$2:$C$230=""AI"",Answers!$D$2:$D$230=B$26),""p"")"),0.8924539664793376)</f>
        <v>0.8924539665</v>
      </c>
      <c r="C33" s="41">
        <f>IFERROR(__xludf.DUMMYFUNCTION("MANNWHITNEY(FILTER(Answers!$F$2:$F$230,Answers!$C$2:$C$230=""AI"",Answers!$D$2:$D$230=$A28), FILTER(Answers!$F$2:$F$230,Answers!$C$2:$C$230=""AI"",Answers!$D$2:$D$230=C$26),""p"")"),0.9999999989999999)</f>
        <v>0.999999999</v>
      </c>
      <c r="D33" s="41">
        <f>IFERROR(__xludf.DUMMYFUNCTION("MANNWHITNEY(FILTER(Answers!$F$2:$F$230,Answers!$C$2:$C$230=""AI"",Answers!$D$2:$D$230=$A28), FILTER(Answers!$F$2:$F$230,Answers!$C$2:$C$230=""AI"",Answers!$D$2:$D$230=D$26),""p"")"),0.8925049706093509)</f>
        <v>0.8925049706</v>
      </c>
    </row>
    <row r="34">
      <c r="A34" s="33" t="s">
        <v>20</v>
      </c>
      <c r="B34" s="41">
        <f>IFERROR(__xludf.DUMMYFUNCTION("MANNWHITNEY(FILTER(Answers!$F$2:$F$230,Answers!$C$2:$C$230=""AI"",Answers!$D$2:$D$230=$A29), FILTER(Answers!$F$2:$F$230,Answers!$C$2:$C$230=""AI"",Answers!$D$2:$D$230=B$26),""p"")"),0.7396131981419973)</f>
        <v>0.7396131981</v>
      </c>
      <c r="C34" s="41">
        <f>IFERROR(__xludf.DUMMYFUNCTION("MANNWHITNEY(FILTER(Answers!$F$2:$F$230,Answers!$C$2:$C$230=""AI"",Answers!$D$2:$D$230=$A29), FILTER(Answers!$F$2:$F$230,Answers!$C$2:$C$230=""AI"",Answers!$D$2:$D$230=C$26),""p"")"),0.8925049706093509)</f>
        <v>0.8925049706</v>
      </c>
      <c r="D34" s="41">
        <f>IFERROR(__xludf.DUMMYFUNCTION("MANNWHITNEY(FILTER(Answers!$F$2:$F$230,Answers!$C$2:$C$230=""AI"",Answers!$D$2:$D$230=$A29), FILTER(Answers!$F$2:$F$230,Answers!$C$2:$C$230=""AI"",Answers!$D$2:$D$230=D$26),""p"")"),0.9999999989999999)</f>
        <v>0.999999999</v>
      </c>
    </row>
    <row r="36">
      <c r="A36" s="43" t="s">
        <v>49</v>
      </c>
      <c r="B36" s="33" t="s">
        <v>12</v>
      </c>
      <c r="C36" s="33" t="s">
        <v>15</v>
      </c>
      <c r="D36" s="33" t="s">
        <v>20</v>
      </c>
    </row>
    <row r="37">
      <c r="A37" s="33" t="s">
        <v>12</v>
      </c>
      <c r="B37" s="41">
        <f>IFERROR(__xludf.DUMMYFUNCTION("MANNWHITNEY(FILTER(Answers!$G$2:$G$230,Answers!$C$2:$C$230=""AI"",Answers!$D$2:$D$230=$A27), FILTER(Answers!$G$2:$G$230,Answers!$C$2:$C$230=""AI"",Answers!$D$2:$D$230=B$26),""p"")"),0.9999999989999999)</f>
        <v>0.999999999</v>
      </c>
      <c r="C37" s="41">
        <f>IFERROR(__xludf.DUMMYFUNCTION("MANNWHITNEY(FILTER(Answers!$G$2:$G$230,Answers!$C$2:$C$230=""AI"",Answers!$D$2:$D$230=$A27), FILTER(Answers!$G$2:$G$230,Answers!$C$2:$C$230=""AI"",Answers!$D$2:$D$230=C$26),""p"")"),0.7396131981419973)</f>
        <v>0.7396131981</v>
      </c>
      <c r="D37" s="41">
        <f>IFERROR(__xludf.DUMMYFUNCTION("MANNWHITNEY(FILTER(Answers!$G$2:$G$230,Answers!$C$2:$C$230=""AI"",Answers!$D$2:$D$230=$A27), FILTER(Answers!$G$2:$G$230,Answers!$C$2:$C$230=""AI"",Answers!$D$2:$D$230=D$26),""p"")"),0.7184491649504869)</f>
        <v>0.718449165</v>
      </c>
    </row>
    <row r="38">
      <c r="A38" s="33" t="s">
        <v>15</v>
      </c>
      <c r="B38" s="41">
        <f>IFERROR(__xludf.DUMMYFUNCTION("MANNWHITNEY(FILTER(Answers!$G$2:$G$230,Answers!$C$2:$C$230=""AI"",Answers!$D$2:$D$230=$A28), FILTER(Answers!$G$2:$G$230,Answers!$C$2:$C$230=""AI"",Answers!$D$2:$D$230=B$26),""p"")"),0.7396131981419973)</f>
        <v>0.7396131981</v>
      </c>
      <c r="C38" s="41">
        <f>IFERROR(__xludf.DUMMYFUNCTION("MANNWHITNEY(FILTER(Answers!$G$2:$G$230,Answers!$C$2:$C$230=""AI"",Answers!$D$2:$D$230=$A28), FILTER(Answers!$G$2:$G$230,Answers!$C$2:$C$230=""AI"",Answers!$D$2:$D$230=C$26),""p"")"),0.9999999989999999)</f>
        <v>0.999999999</v>
      </c>
      <c r="D38" s="41">
        <f>IFERROR(__xludf.DUMMYFUNCTION("MANNWHITNEY(FILTER(Answers!$G$2:$G$230,Answers!$C$2:$C$230=""AI"",Answers!$D$2:$D$230=$A28), FILTER(Answers!$G$2:$G$230,Answers!$C$2:$C$230=""AI"",Answers!$D$2:$D$230=D$26),""p"")"),0.9827497003893657)</f>
        <v>0.9827497004</v>
      </c>
    </row>
    <row r="39">
      <c r="A39" s="33" t="s">
        <v>20</v>
      </c>
      <c r="B39" s="41">
        <f>IFERROR(__xludf.DUMMYFUNCTION("MANNWHITNEY(FILTER(Answers!$G$2:$G$230,Answers!$C$2:$C$230=""AI"",Answers!$D$2:$D$230=$A29), FILTER(Answers!$G$2:$G$230,Answers!$C$2:$C$230=""AI"",Answers!$D$2:$D$230=B$26),""p"")"),0.7184491649504869)</f>
        <v>0.718449165</v>
      </c>
      <c r="C39" s="41">
        <f>IFERROR(__xludf.DUMMYFUNCTION("MANNWHITNEY(FILTER(Answers!$G$2:$G$230,Answers!$C$2:$C$230=""AI"",Answers!$D$2:$D$230=$A29), FILTER(Answers!$G$2:$G$230,Answers!$C$2:$C$230=""AI"",Answers!$D$2:$D$230=C$26),""p"")"),0.9827497003893657)</f>
        <v>0.9827497004</v>
      </c>
      <c r="D39" s="41">
        <f>IFERROR(__xludf.DUMMYFUNCTION("MANNWHITNEY(FILTER(Answers!$G$2:$G$230,Answers!$C$2:$C$230=""AI"",Answers!$D$2:$D$230=$A29), FILTER(Answers!$G$2:$G$230,Answers!$C$2:$C$230=""AI"",Answers!$D$2:$D$230=D$26),""p"")"),0.9999999989999999)</f>
        <v>0.999999999</v>
      </c>
    </row>
    <row r="41">
      <c r="A41" s="43" t="s">
        <v>50</v>
      </c>
      <c r="B41" s="33" t="s">
        <v>12</v>
      </c>
      <c r="C41" s="33" t="s">
        <v>15</v>
      </c>
      <c r="D41" s="33" t="s">
        <v>20</v>
      </c>
    </row>
    <row r="42">
      <c r="A42" s="33" t="s">
        <v>12</v>
      </c>
      <c r="B42" s="41">
        <f>IFERROR(__xludf.DUMMYFUNCTION("MANNWHITNEY(FILTER(Answers!$H$2:$H$230,Answers!$C$2:$C$230=""AI"",Answers!$D$2:$D$230=$A27), FILTER(Answers!$H$2:$H$230,Answers!$C$2:$C$230=""AI"",Answers!$D$2:$D$230=B$26),""p"")"),0.9999999989999999)</f>
        <v>0.999999999</v>
      </c>
      <c r="C42" s="41">
        <f>IFERROR(__xludf.DUMMYFUNCTION("MANNWHITNEY(FILTER(Answers!$H$2:$H$230,Answers!$C$2:$C$230=""AI"",Answers!$D$2:$D$230=$A27), FILTER(Answers!$H$2:$H$230,Answers!$C$2:$C$230=""AI"",Answers!$D$2:$D$230=C$26),""p"")"),0.2528047447082846)</f>
        <v>0.2528047447</v>
      </c>
      <c r="D42" s="41">
        <f>IFERROR(__xludf.DUMMYFUNCTION("MANNWHITNEY(FILTER(Answers!$H$2:$H$230,Answers!$C$2:$C$230=""AI"",Answers!$D$2:$D$230=$A27), FILTER(Answers!$H$2:$H$230,Answers!$C$2:$C$230=""AI"",Answers!$D$2:$D$230=D$26),""p"")"),0.8436975639054338)</f>
        <v>0.8436975639</v>
      </c>
    </row>
    <row r="43">
      <c r="A43" s="33" t="s">
        <v>15</v>
      </c>
      <c r="B43" s="41">
        <f>IFERROR(__xludf.DUMMYFUNCTION("MANNWHITNEY(FILTER(Answers!$H$2:$H$230,Answers!$C$2:$C$230=""AI"",Answers!$D$2:$D$230=$A28), FILTER(Answers!$H$2:$H$230,Answers!$C$2:$C$230=""AI"",Answers!$D$2:$D$230=B$26),""p"")"),0.2528047447082846)</f>
        <v>0.2528047447</v>
      </c>
      <c r="C43" s="41">
        <f>IFERROR(__xludf.DUMMYFUNCTION("MANNWHITNEY(FILTER(Answers!$H$2:$H$230,Answers!$C$2:$C$230=""AI"",Answers!$D$2:$D$230=$A28), FILTER(Answers!$H$2:$H$230,Answers!$C$2:$C$230=""AI"",Answers!$D$2:$D$230=C$26),""p"")"),0.9999999989999999)</f>
        <v>0.999999999</v>
      </c>
      <c r="D43" s="41">
        <f>IFERROR(__xludf.DUMMYFUNCTION("MANNWHITNEY(FILTER(Answers!$H$2:$H$230,Answers!$C$2:$C$230=""AI"",Answers!$D$2:$D$230=$A28), FILTER(Answers!$H$2:$H$230,Answers!$C$2:$C$230=""AI"",Answers!$D$2:$D$230=D$26),""p"")"),0.42371067718008604)</f>
        <v>0.4237106772</v>
      </c>
    </row>
    <row r="44">
      <c r="A44" s="33" t="s">
        <v>20</v>
      </c>
      <c r="B44" s="41">
        <f>IFERROR(__xludf.DUMMYFUNCTION("MANNWHITNEY(FILTER(Answers!$H$2:$H$230,Answers!$C$2:$C$230=""AI"",Answers!$D$2:$D$230=$A29), FILTER(Answers!$H$2:$H$230,Answers!$C$2:$C$230=""AI"",Answers!$D$2:$D$230=B$26),""p"")"),0.8436975639054338)</f>
        <v>0.8436975639</v>
      </c>
      <c r="C44" s="41">
        <f>IFERROR(__xludf.DUMMYFUNCTION("MANNWHITNEY(FILTER(Answers!$H$2:$H$230,Answers!$C$2:$C$230=""AI"",Answers!$D$2:$D$230=$A29), FILTER(Answers!$H$2:$H$230,Answers!$C$2:$C$230=""AI"",Answers!$D$2:$D$230=C$26),""p"")"),0.42371067718008604)</f>
        <v>0.4237106772</v>
      </c>
      <c r="D44" s="41">
        <f>IFERROR(__xludf.DUMMYFUNCTION("MANNWHITNEY(FILTER(Answers!$H$2:$H$230,Answers!$C$2:$C$230=""AI"",Answers!$D$2:$D$230=$A29), FILTER(Answers!$H$2:$H$230,Answers!$C$2:$C$230=""AI"",Answers!$D$2:$D$230=D$26),""p"")"),0.9999999989999999)</f>
        <v>0.999999999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45" t="s">
        <v>46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45"/>
      <c r="C5" s="45" t="s">
        <v>51</v>
      </c>
      <c r="D5" s="45" t="s">
        <v>52</v>
      </c>
      <c r="E5" s="45" t="s">
        <v>53</v>
      </c>
      <c r="F5" s="45" t="s">
        <v>54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45" t="s">
        <v>47</v>
      </c>
      <c r="C6" s="44">
        <v>0.9761003727744906</v>
      </c>
      <c r="D6" s="44">
        <v>0.21064855842643948</v>
      </c>
      <c r="E6" s="44">
        <v>0.45534662360543665</v>
      </c>
      <c r="F6" s="44">
        <v>0.6882856246736604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45" t="s">
        <v>48</v>
      </c>
      <c r="C7" s="44">
        <v>0.714746782907496</v>
      </c>
      <c r="D7" s="44">
        <v>0.9266887746201959</v>
      </c>
      <c r="E7" s="44">
        <v>0.8297150909507716</v>
      </c>
      <c r="F7" s="44">
        <v>0.650634020700634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5" t="s">
        <v>49</v>
      </c>
      <c r="C8" s="44">
        <v>0.3530441670276281</v>
      </c>
      <c r="D8" s="44">
        <v>0.32496354798277993</v>
      </c>
      <c r="E8" s="44">
        <v>0.6461728121288073</v>
      </c>
      <c r="F8" s="44">
        <v>0.6080546486191793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45" t="s">
        <v>50</v>
      </c>
      <c r="C9" s="44">
        <v>0.6445442890922042</v>
      </c>
      <c r="D9" s="44">
        <v>0.36200252341084105</v>
      </c>
      <c r="E9" s="44">
        <v>0.6255237606082507</v>
      </c>
      <c r="F9" s="44">
        <v>0.5737868277756486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5" t="s">
        <v>55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4"/>
      <c r="B14" s="45" t="s">
        <v>47</v>
      </c>
      <c r="C14" s="45" t="s">
        <v>12</v>
      </c>
      <c r="D14" s="45" t="s">
        <v>15</v>
      </c>
      <c r="E14" s="45" t="s">
        <v>20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4"/>
      <c r="B15" s="45" t="s">
        <v>12</v>
      </c>
      <c r="C15" s="44">
        <v>0.9999999989999999</v>
      </c>
      <c r="D15" s="44">
        <v>0.08784140893050973</v>
      </c>
      <c r="E15" s="44">
        <v>0.20699809451580076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5" t="s">
        <v>15</v>
      </c>
      <c r="C16" s="44">
        <v>0.08784140893050973</v>
      </c>
      <c r="D16" s="44">
        <v>0.9999999989999999</v>
      </c>
      <c r="E16" s="44">
        <v>0.8246085289654572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5" t="s">
        <v>20</v>
      </c>
      <c r="C17" s="44">
        <v>0.20699809451580076</v>
      </c>
      <c r="D17" s="44">
        <v>0.8246085289654572</v>
      </c>
      <c r="E17" s="44">
        <v>0.9999999989999999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5" t="s">
        <v>48</v>
      </c>
      <c r="C19" s="45" t="s">
        <v>12</v>
      </c>
      <c r="D19" s="45" t="s">
        <v>15</v>
      </c>
      <c r="E19" s="45" t="s">
        <v>20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5" t="s">
        <v>12</v>
      </c>
      <c r="C20" s="44">
        <v>0.9999999989999999</v>
      </c>
      <c r="D20" s="44">
        <v>0.8924539664793376</v>
      </c>
      <c r="E20" s="44">
        <v>0.7396131981419973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4"/>
      <c r="B21" s="45" t="s">
        <v>15</v>
      </c>
      <c r="C21" s="44">
        <v>0.8924539664793376</v>
      </c>
      <c r="D21" s="44">
        <v>0.9999999989999999</v>
      </c>
      <c r="E21" s="44">
        <v>0.8925049706093509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5" t="s">
        <v>20</v>
      </c>
      <c r="C22" s="44">
        <v>0.7396131981419973</v>
      </c>
      <c r="D22" s="44">
        <v>0.8925049706093509</v>
      </c>
      <c r="E22" s="44">
        <v>0.9999999989999999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4"/>
      <c r="B24" s="45" t="s">
        <v>49</v>
      </c>
      <c r="C24" s="45" t="s">
        <v>12</v>
      </c>
      <c r="D24" s="45" t="s">
        <v>15</v>
      </c>
      <c r="E24" s="45" t="s">
        <v>20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4"/>
      <c r="B25" s="45" t="s">
        <v>12</v>
      </c>
      <c r="C25" s="44">
        <v>0.9999999989999999</v>
      </c>
      <c r="D25" s="44">
        <v>0.7396131981419973</v>
      </c>
      <c r="E25" s="44">
        <v>0.7184491649504869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5" t="s">
        <v>15</v>
      </c>
      <c r="C26" s="44">
        <v>0.7396131981419973</v>
      </c>
      <c r="D26" s="44">
        <v>0.9999999989999999</v>
      </c>
      <c r="E26" s="44">
        <v>0.9827497003893657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5" t="s">
        <v>20</v>
      </c>
      <c r="C27" s="44">
        <v>0.7184491649504869</v>
      </c>
      <c r="D27" s="44">
        <v>0.9827497003893657</v>
      </c>
      <c r="E27" s="44">
        <v>0.9999999989999999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5" t="s">
        <v>50</v>
      </c>
      <c r="C29" s="45" t="s">
        <v>12</v>
      </c>
      <c r="D29" s="45" t="s">
        <v>15</v>
      </c>
      <c r="E29" s="45" t="s">
        <v>20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5" t="s">
        <v>12</v>
      </c>
      <c r="C30" s="44">
        <v>0.9999999989999999</v>
      </c>
      <c r="D30" s="44">
        <v>0.2528047447082846</v>
      </c>
      <c r="E30" s="44">
        <v>0.8436975639054338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5" t="s">
        <v>15</v>
      </c>
      <c r="C31" s="44">
        <v>0.2528047447082846</v>
      </c>
      <c r="D31" s="44">
        <v>0.9999999989999999</v>
      </c>
      <c r="E31" s="44">
        <v>0.42371067718008604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5" t="s">
        <v>20</v>
      </c>
      <c r="C32" s="44">
        <v>0.8436975639054338</v>
      </c>
      <c r="D32" s="44">
        <v>0.42371067718008604</v>
      </c>
      <c r="E32" s="44">
        <v>0.9999999989999999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</sheetData>
  <drawing r:id="rId1"/>
</worksheet>
</file>